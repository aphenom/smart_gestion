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amp64\www\smart_gestion\"/>
    </mc:Choice>
  </mc:AlternateContent>
  <bookViews>
    <workbookView xWindow="0" yWindow="0" windowWidth="20460" windowHeight="7590"/>
  </bookViews>
  <sheets>
    <sheet name="Analyse BDD" sheetId="1" r:id="rId1"/>
    <sheet name="RETROPLANNING" sheetId="4" r:id="rId2"/>
    <sheet name="Feuil1" sheetId="5" state="hidden" r:id="rId3"/>
  </sheets>
  <definedNames>
    <definedName name="_Toc25937664" localSheetId="1">RETROPLANNING!#REF!</definedName>
    <definedName name="_xlnm.Print_Titles" localSheetId="1">RETROPLANNING!$A:$B,RETROPLANNING!$3:$5</definedName>
    <definedName name="_xlnm.Print_Area" localSheetId="1">RETROPLANNING!$A$3:$BD$22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P5" i="4" l="1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</calcChain>
</file>

<file path=xl/sharedStrings.xml><?xml version="1.0" encoding="utf-8"?>
<sst xmlns="http://schemas.openxmlformats.org/spreadsheetml/2006/main" count="417" uniqueCount="216">
  <si>
    <t>User</t>
  </si>
  <si>
    <t>date_add</t>
  </si>
  <si>
    <t>date_del</t>
  </si>
  <si>
    <t>etat_val</t>
  </si>
  <si>
    <t>etat_del</t>
  </si>
  <si>
    <t>nom</t>
  </si>
  <si>
    <t>prenom</t>
  </si>
  <si>
    <t>genre</t>
  </si>
  <si>
    <t>date_naissance</t>
  </si>
  <si>
    <t>contact</t>
  </si>
  <si>
    <t>email</t>
  </si>
  <si>
    <t>user</t>
  </si>
  <si>
    <t>password</t>
  </si>
  <si>
    <t>role</t>
  </si>
  <si>
    <t>id</t>
  </si>
  <si>
    <t>libelle</t>
  </si>
  <si>
    <t>montant</t>
  </si>
  <si>
    <t>username</t>
  </si>
  <si>
    <t>ecole</t>
  </si>
  <si>
    <t>niveau</t>
  </si>
  <si>
    <t>classe</t>
  </si>
  <si>
    <t>scolarite</t>
  </si>
  <si>
    <t>message</t>
  </si>
  <si>
    <t>Annee</t>
  </si>
  <si>
    <t>Ecole</t>
  </si>
  <si>
    <t>Niveau</t>
  </si>
  <si>
    <t>frais_inscription</t>
  </si>
  <si>
    <t>annee</t>
  </si>
  <si>
    <t>Classe</t>
  </si>
  <si>
    <t>Scolarite</t>
  </si>
  <si>
    <t>Echeance</t>
  </si>
  <si>
    <t>Paiement</t>
  </si>
  <si>
    <t>nationalite</t>
  </si>
  <si>
    <t>domicile</t>
  </si>
  <si>
    <t>remarque</t>
  </si>
  <si>
    <t xml:space="preserve">niveau </t>
  </si>
  <si>
    <t>lieu_naissance</t>
  </si>
  <si>
    <t>nom_prenom_pere</t>
  </si>
  <si>
    <t>contact_pere</t>
  </si>
  <si>
    <t>fonction_pere</t>
  </si>
  <si>
    <t>nom_prenom_mere</t>
  </si>
  <si>
    <t>nom_prenom_tuteur</t>
  </si>
  <si>
    <t>fonction_mere</t>
  </si>
  <si>
    <t>contact_mere</t>
  </si>
  <si>
    <t>fonction_tuteur</t>
  </si>
  <si>
    <t>User_role</t>
  </si>
  <si>
    <t>Config</t>
  </si>
  <si>
    <t>nom app</t>
  </si>
  <si>
    <t>adresse</t>
  </si>
  <si>
    <t>logo</t>
  </si>
  <si>
    <t>objet</t>
  </si>
  <si>
    <t>contenu</t>
  </si>
  <si>
    <t>user_admin</t>
  </si>
  <si>
    <t>Frais_inscription</t>
  </si>
  <si>
    <t>monatnt</t>
  </si>
  <si>
    <t>Frais_annexe</t>
  </si>
  <si>
    <t>frais_annexe</t>
  </si>
  <si>
    <t>Depense</t>
  </si>
  <si>
    <t>eleves</t>
  </si>
  <si>
    <t>paiements</t>
  </si>
  <si>
    <t>frais_annexes</t>
  </si>
  <si>
    <t>frais_inscriptions</t>
  </si>
  <si>
    <t>scolarites</t>
  </si>
  <si>
    <t>classes</t>
  </si>
  <si>
    <t>message_internes</t>
  </si>
  <si>
    <t>meesage_externes</t>
  </si>
  <si>
    <t>depenses</t>
  </si>
  <si>
    <t>entrees</t>
  </si>
  <si>
    <t>Entree</t>
  </si>
  <si>
    <t>user_eleve</t>
  </si>
  <si>
    <t>echeances</t>
  </si>
  <si>
    <t>admin_message_internes</t>
  </si>
  <si>
    <t>users</t>
  </si>
  <si>
    <t>admin_depenses</t>
  </si>
  <si>
    <t>admin_entrees</t>
  </si>
  <si>
    <t>eleve_message_internes</t>
  </si>
  <si>
    <t>Stock les différentes années scolaires tout en déterminant l'année en cours</t>
  </si>
  <si>
    <t>Stock les écoles</t>
  </si>
  <si>
    <t>stock les niveaux scolaires en y précisant les conditions d'accès</t>
  </si>
  <si>
    <t>stock les frais d'inscription en fonction du statut de l'élève et son niveau</t>
  </si>
  <si>
    <t>stock les scolarités en fonction du statut de l'élève et son niveau</t>
  </si>
  <si>
    <t>Stock les différentes échéances pour les différentes scolarités</t>
  </si>
  <si>
    <t>Stock les différents élèves pour chaque année sachant qu'un élève peut garder son id user pour chaque enregistrement pour chaque année</t>
  </si>
  <si>
    <t>Stock les différents user ayant un compte sur la plateforme admin, élève</t>
  </si>
  <si>
    <t>Stock les différents attribuables aux utilisateurs avec les modules sur lesquels ils pourraient intévenir</t>
  </si>
  <si>
    <t>Stock les informations uniques de configuration</t>
  </si>
  <si>
    <t>stock les informations des messages echangés en interne via la plateforme</t>
  </si>
  <si>
    <t>Stock les dépenses et l'administatrateur qui l'a enregistré</t>
  </si>
  <si>
    <t>Stock les entrées et l'administatrateur qui l'a enregistré</t>
  </si>
  <si>
    <r>
      <t xml:space="preserve">moyenne_minimum_acces </t>
    </r>
    <r>
      <rPr>
        <i/>
        <sz val="11"/>
        <color rgb="FF00B050"/>
        <rFont val="Calibri"/>
        <family val="2"/>
        <scheme val="minor"/>
      </rPr>
      <t>(condition d'accès pouvant servir de filtre de préinscription)</t>
    </r>
  </si>
  <si>
    <r>
      <t>age_minimum_acces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00B050"/>
        <rFont val="Calibri"/>
        <family val="2"/>
        <scheme val="minor"/>
      </rPr>
      <t>(condition d'accès pouvant servir de filtre de préinscription)</t>
    </r>
  </si>
  <si>
    <r>
      <t>age_maximum_acces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00B050"/>
        <rFont val="Calibri"/>
        <family val="2"/>
        <scheme val="minor"/>
      </rPr>
      <t>(condition d'accès pouvant servir de filtre de préinscription)</t>
    </r>
  </si>
  <si>
    <r>
      <t xml:space="preserve">nombre_eleve_maximum </t>
    </r>
    <r>
      <rPr>
        <i/>
        <sz val="11"/>
        <color rgb="FF00B050"/>
        <rFont val="Calibri"/>
        <family val="2"/>
        <scheme val="minor"/>
      </rPr>
      <t>(pouvant servir de note d'information en cas de depassement lors de l'inscription à l'administration)</t>
    </r>
  </si>
  <si>
    <r>
      <t xml:space="preserve">statut_orientation </t>
    </r>
    <r>
      <rPr>
        <i/>
        <sz val="11"/>
        <color rgb="FF00B050"/>
        <rFont val="Calibri"/>
        <family val="2"/>
        <scheme val="minor"/>
      </rPr>
      <t>(orienté de l'Etat ou non)</t>
    </r>
  </si>
  <si>
    <r>
      <t xml:space="preserve">debut </t>
    </r>
    <r>
      <rPr>
        <i/>
        <sz val="11"/>
        <color rgb="FF00B050"/>
        <rFont val="Calibri"/>
        <family val="2"/>
        <scheme val="minor"/>
      </rPr>
      <t>(jj-mm-aaaa)</t>
    </r>
  </si>
  <si>
    <r>
      <t>fin</t>
    </r>
    <r>
      <rPr>
        <i/>
        <sz val="11"/>
        <color rgb="FF00B050"/>
        <rFont val="Calibri"/>
        <family val="2"/>
        <scheme val="minor"/>
      </rPr>
      <t xml:space="preserve"> (jj-mm-aaaa)</t>
    </r>
  </si>
  <si>
    <r>
      <t xml:space="preserve">etat_encours </t>
    </r>
    <r>
      <rPr>
        <i/>
        <sz val="11"/>
        <color rgb="FF00B050"/>
        <rFont val="Calibri"/>
        <family val="2"/>
        <scheme val="minor"/>
      </rPr>
      <t>(l'année active ou non)</t>
    </r>
  </si>
  <si>
    <r>
      <t xml:space="preserve">date_echeance </t>
    </r>
    <r>
      <rPr>
        <i/>
        <sz val="11"/>
        <color rgb="FF00B050"/>
        <rFont val="Calibri"/>
        <family val="2"/>
        <scheme val="minor"/>
      </rPr>
      <t>(jj-mm-aaaa)</t>
    </r>
  </si>
  <si>
    <r>
      <t>periode</t>
    </r>
    <r>
      <rPr>
        <i/>
        <sz val="11"/>
        <color rgb="FF00B050"/>
        <rFont val="Calibri"/>
        <family val="2"/>
        <scheme val="minor"/>
      </rPr>
      <t xml:space="preserve"> (Mensuel, Annuel)</t>
    </r>
  </si>
  <si>
    <r>
      <t>niveau</t>
    </r>
    <r>
      <rPr>
        <b/>
        <i/>
        <sz val="11"/>
        <color rgb="FF00B050"/>
        <rFont val="Calibri"/>
        <family val="2"/>
        <scheme val="minor"/>
      </rPr>
      <t xml:space="preserve"> </t>
    </r>
    <r>
      <rPr>
        <i/>
        <sz val="11"/>
        <color rgb="FF00B050"/>
        <rFont val="Calibri"/>
        <family val="2"/>
        <scheme val="minor"/>
      </rPr>
      <t>(optionnel pour des cas de frais d'exam par exemple)</t>
    </r>
  </si>
  <si>
    <t>Stock les paiements soit de scolarités, soit de frais d'inscription ou encore de frais annexe</t>
  </si>
  <si>
    <r>
      <t xml:space="preserve">user_admin </t>
    </r>
    <r>
      <rPr>
        <i/>
        <sz val="11"/>
        <color rgb="FF00B050"/>
        <rFont val="Calibri"/>
        <family val="2"/>
        <scheme val="minor"/>
      </rPr>
      <t>(id user de l'admin ayant fait l'enregistrement)</t>
    </r>
  </si>
  <si>
    <r>
      <t xml:space="preserve">user_eleve </t>
    </r>
    <r>
      <rPr>
        <i/>
        <sz val="11"/>
        <color rgb="FF00B050"/>
        <rFont val="Calibri"/>
        <family val="2"/>
        <scheme val="minor"/>
      </rPr>
      <t>(id user de l'élève ayant fait le paiement)</t>
    </r>
  </si>
  <si>
    <r>
      <t xml:space="preserve">etat_import </t>
    </r>
    <r>
      <rPr>
        <i/>
        <sz val="11"/>
        <color rgb="FF00B050"/>
        <rFont val="Calibri"/>
        <family val="2"/>
        <scheme val="minor"/>
      </rPr>
      <t>(date en cas d'importation)</t>
    </r>
  </si>
  <si>
    <r>
      <t xml:space="preserve">date_val </t>
    </r>
    <r>
      <rPr>
        <i/>
        <sz val="11"/>
        <color rgb="FF00B050"/>
        <rFont val="Calibri"/>
        <family val="2"/>
        <scheme val="minor"/>
      </rPr>
      <t>(date inscription validée)</t>
    </r>
  </si>
  <si>
    <r>
      <t xml:space="preserve">etat_del </t>
    </r>
    <r>
      <rPr>
        <i/>
        <sz val="11"/>
        <color rgb="FF00B050"/>
        <rFont val="Calibri"/>
        <family val="2"/>
        <scheme val="minor"/>
      </rPr>
      <t>(élève abandon)</t>
    </r>
  </si>
  <si>
    <r>
      <t>matricule</t>
    </r>
    <r>
      <rPr>
        <i/>
        <sz val="11"/>
        <color rgb="FF00B050"/>
        <rFont val="Calibri"/>
        <family val="2"/>
        <scheme val="minor"/>
      </rPr>
      <t xml:space="preserve"> (unique)</t>
    </r>
  </si>
  <si>
    <r>
      <t xml:space="preserve">regime_bourse </t>
    </r>
    <r>
      <rPr>
        <i/>
        <sz val="11"/>
        <color rgb="FF00B050"/>
        <rFont val="Calibri"/>
        <family val="2"/>
        <scheme val="minor"/>
      </rPr>
      <t>(boursier, demi bousier, non boursier)</t>
    </r>
  </si>
  <si>
    <t xml:space="preserve">assurance </t>
  </si>
  <si>
    <r>
      <t>module</t>
    </r>
    <r>
      <rPr>
        <i/>
        <sz val="11"/>
        <color rgb="FF00B050"/>
        <rFont val="Calibri"/>
        <family val="2"/>
        <scheme val="minor"/>
      </rPr>
      <t xml:space="preserve"> (checkbox admin, eleve, inscription, frais , scolarite, config,,,)</t>
    </r>
  </si>
  <si>
    <r>
      <t xml:space="preserve">id_transaction_mobile_money </t>
    </r>
    <r>
      <rPr>
        <i/>
        <sz val="11"/>
        <color rgb="FF00B050"/>
        <rFont val="Calibri"/>
        <family val="2"/>
        <scheme val="minor"/>
      </rPr>
      <t>(en cas de paiement par mobile money sinon directement à l'administration)</t>
    </r>
  </si>
  <si>
    <r>
      <t>contact_mobile_money</t>
    </r>
    <r>
      <rPr>
        <i/>
        <sz val="11"/>
        <color rgb="FF00B050"/>
        <rFont val="Calibri"/>
        <family val="2"/>
        <scheme val="minor"/>
      </rPr>
      <t xml:space="preserve"> (en cas de paiement par mobile money sinon directement à l'administration)</t>
    </r>
  </si>
  <si>
    <r>
      <t xml:space="preserve">frais_mobile_money </t>
    </r>
    <r>
      <rPr>
        <i/>
        <sz val="11"/>
        <color rgb="FF00B050"/>
        <rFont val="Calibri"/>
        <family val="2"/>
        <scheme val="minor"/>
      </rPr>
      <t>(en cas de paiement par mobile money sinon directement à l'administration)</t>
    </r>
  </si>
  <si>
    <r>
      <t>frais_mobile_money</t>
    </r>
    <r>
      <rPr>
        <i/>
        <sz val="11"/>
        <color rgb="FF00B050"/>
        <rFont val="Calibri"/>
        <family val="2"/>
        <scheme val="minor"/>
      </rPr>
      <t xml:space="preserve"> (pourcentage)</t>
    </r>
  </si>
  <si>
    <r>
      <t xml:space="preserve">contact </t>
    </r>
    <r>
      <rPr>
        <i/>
        <sz val="11"/>
        <color rgb="FF00B050"/>
        <rFont val="Calibri"/>
        <family val="2"/>
        <scheme val="minor"/>
      </rPr>
      <t>(pour utilisateur non connecté)</t>
    </r>
  </si>
  <si>
    <r>
      <rPr>
        <b/>
        <sz val="11"/>
        <color rgb="FFFF0000"/>
        <rFont val="Calibri"/>
        <family val="2"/>
        <scheme val="minor"/>
      </rPr>
      <t xml:space="preserve">message_parent </t>
    </r>
    <r>
      <rPr>
        <i/>
        <sz val="11"/>
        <color rgb="FF00B050"/>
        <rFont val="Calibri"/>
        <family val="2"/>
        <scheme val="minor"/>
      </rPr>
      <t>(recursive pour conversation)</t>
    </r>
  </si>
  <si>
    <r>
      <t xml:space="preserve">contacts </t>
    </r>
    <r>
      <rPr>
        <i/>
        <sz val="11"/>
        <color rgb="FF00B050"/>
        <rFont val="Calibri"/>
        <family val="2"/>
        <scheme val="minor"/>
      </rPr>
      <t>(array des contacts de la campagne)</t>
    </r>
  </si>
  <si>
    <r>
      <t xml:space="preserve">liste </t>
    </r>
    <r>
      <rPr>
        <i/>
        <sz val="11"/>
        <color rgb="FF00B050"/>
        <rFont val="Calibri"/>
        <family val="2"/>
        <scheme val="minor"/>
      </rPr>
      <t>(array istes générés par les différents objets faisant appel à un paiement expl : non paiement echeance actuel…)</t>
    </r>
  </si>
  <si>
    <r>
      <t xml:space="preserve">user_admin_val </t>
    </r>
    <r>
      <rPr>
        <i/>
        <sz val="11"/>
        <color rgb="FF00B050"/>
        <rFont val="Calibri"/>
        <family val="2"/>
        <scheme val="minor"/>
      </rPr>
      <t>(id user de l'admin ayant fait la validation)</t>
    </r>
  </si>
  <si>
    <r>
      <t xml:space="preserve">user_admin_enreg </t>
    </r>
    <r>
      <rPr>
        <i/>
        <sz val="11"/>
        <color rgb="FF00B050"/>
        <rFont val="Calibri"/>
        <family val="2"/>
        <scheme val="minor"/>
      </rPr>
      <t>(id user de l'admin ayant fait l'enregistrement)</t>
    </r>
  </si>
  <si>
    <t>admin_enreg_eleves</t>
  </si>
  <si>
    <t>admin_message_externes</t>
  </si>
  <si>
    <t>admin_val_eleves</t>
  </si>
  <si>
    <r>
      <t>user_admin</t>
    </r>
    <r>
      <rPr>
        <sz val="11"/>
        <color rgb="FF00B050"/>
        <rFont val="Calibri"/>
        <family val="2"/>
        <scheme val="minor"/>
      </rPr>
      <t xml:space="preserve"> </t>
    </r>
    <r>
      <rPr>
        <i/>
        <sz val="11"/>
        <color rgb="FF00B050"/>
        <rFont val="Calibri"/>
        <family val="2"/>
        <scheme val="minor"/>
      </rPr>
      <t>(id user de l'admin ayant fait l'enregistrement)</t>
    </r>
  </si>
  <si>
    <r>
      <t>user_admin</t>
    </r>
    <r>
      <rPr>
        <i/>
        <sz val="11"/>
        <color rgb="FF0070C0"/>
        <rFont val="Calibri"/>
        <family val="2"/>
        <scheme val="minor"/>
      </rPr>
      <t xml:space="preserve"> </t>
    </r>
    <r>
      <rPr>
        <i/>
        <sz val="11"/>
        <color rgb="FF00B050"/>
        <rFont val="Calibri"/>
        <family val="2"/>
        <scheme val="minor"/>
      </rPr>
      <t>(id user de l'admin ayant fait l'enregistrement)</t>
    </r>
  </si>
  <si>
    <t>Meesage_externe (sms)</t>
  </si>
  <si>
    <t>Message_interne (messagerie via plateforme)</t>
  </si>
  <si>
    <t>Eleve</t>
  </si>
  <si>
    <t>stock les classes créées manuellement en y précisant les le nombre d'élèves attendus</t>
  </si>
  <si>
    <t>Stock les frais annexes pour une année donnée qui peuvent aussi être liées à un niveau bien déterminé pour notamment des frais d'exam en déterminant notamment que celui-ci est annuel</t>
  </si>
  <si>
    <t>stock les informations des messages envoyés en SMS</t>
  </si>
  <si>
    <t>N°
Activité</t>
  </si>
  <si>
    <t>TÂCHES / FONCTIONNALITES</t>
  </si>
  <si>
    <t>Connexion</t>
  </si>
  <si>
    <t>Tableau de bord (apperçu stats globales)</t>
  </si>
  <si>
    <t xml:space="preserve">Espace Administrateur : </t>
  </si>
  <si>
    <t>Gestion des années : ajouter, modifier, activer, désactiver, 
voir les infos (stats) liées années</t>
  </si>
  <si>
    <t>Gestion des ecoles : Lister, filtrer, ajouter, modifier, activer, désactiver, 
voir les infos (stats) liées aux ecoles</t>
  </si>
  <si>
    <t>Gestion des niveaux : Lister, filtrer, ajouter, modifier, activer, désactiver, 
voir les infos (stats) liées aux niveaux</t>
  </si>
  <si>
    <t>Gestion des classes : Lister, filtrer, ajouter, modifier, activer, désactiver, 
voir les infos (stats) liées aux classes</t>
  </si>
  <si>
    <t>Gestion des scolarités, frais d'inscription et échéances : Lister, filtrer, ajouter, modifier, activer, désactiver, 
voir les infos (historiques, portefeuilles) liées aux scolarités, frais d'inscription et échéances</t>
  </si>
  <si>
    <t>Gestion des frais annexes : Lister, filtrer, ajouter, modifier, activer, désactiver, 
voir les infos (stats) liées aux frais annexes</t>
  </si>
  <si>
    <t>Gestion des inscriptions : Lister, filtrer, ajouter, modifier, activer, désactiver, préinscription, importation, passage en classe suivante (année prochaine)
voir les infos (stats) liées aux inscriptions</t>
  </si>
  <si>
    <t>Gestion des roles : ajouter, modifier, activer, désactiver</t>
  </si>
  <si>
    <t>Gestion des administrateurs : ajouter, modifier, activer, désactiver</t>
  </si>
  <si>
    <t>Gestion des infos de primaires de config : ajouter, modifier</t>
  </si>
  <si>
    <t>Gestion de la messagerie interne : Lister, filtrer, ajouter, repondre, activer, désactiver, voir conversation</t>
  </si>
  <si>
    <t>Gestion de la messagerie externe (sms) : Lister, filtrer, envoyer</t>
  </si>
  <si>
    <t>Gestion des paiements : Lister, filtrer, ajouter, modifier, activer, désactiver, 
voir les infos (stats) liées aux paiements</t>
  </si>
  <si>
    <t>Gestion des autres transactions : Lister, filtrer, ajouter, modifier, activer, désactiver, voir les infos (stats) liées aux autres transactions</t>
  </si>
  <si>
    <t>Espace élève</t>
  </si>
  <si>
    <t>Application mobile de contrôle de paiement</t>
  </si>
  <si>
    <t>Préinscription</t>
  </si>
  <si>
    <t>Mon profil</t>
  </si>
  <si>
    <t>Mes paiements</t>
  </si>
  <si>
    <t>Messagerie</t>
  </si>
  <si>
    <t>RETROPLANNING ECOLE | MAI - JUIN - JUILLET 2020</t>
  </si>
  <si>
    <t>Des "détails" à verifier:</t>
  </si>
  <si>
    <r>
      <t>Elève: Upload sa photo</t>
    </r>
    <r>
      <rPr>
        <b/>
        <sz val="14"/>
        <color rgb="FF000000"/>
        <rFont val="Calibri"/>
        <family val="2"/>
        <scheme val="minor"/>
      </rPr>
      <t>, soit lui-meme, soit par l'administration</t>
    </r>
  </si>
  <si>
    <r>
      <t>QR Code à générer</t>
    </r>
    <r>
      <rPr>
        <b/>
        <sz val="14"/>
        <color rgb="FF000000"/>
        <rFont val="Calibri"/>
        <family val="2"/>
        <scheme val="minor"/>
      </rPr>
      <t>, et qui servira pour les controles, soit dans le car, la cantine ou au portail</t>
    </r>
  </si>
  <si>
    <r>
      <t>Concernant les statistiques et le tableau de bord</t>
    </r>
    <r>
      <rPr>
        <b/>
        <sz val="14"/>
        <color rgb="FF000000"/>
        <rFont val="Calibri"/>
        <family val="2"/>
        <scheme val="minor"/>
      </rPr>
      <t>: on en a pas parlé mais, vu que tu es si préci, si tu incìserts du graphisme, cela donne une valeur ajouté à ton travail de professionnel</t>
    </r>
  </si>
  <si>
    <r>
      <t>Au niveau des dates</t>
    </r>
    <r>
      <rPr>
        <b/>
        <sz val="14"/>
        <color rgb="FF000000"/>
        <rFont val="Calibri"/>
        <family val="2"/>
        <scheme val="minor"/>
      </rPr>
      <t>: quand on le fait à l'aide d'un calendrier juggéré par le système, c'est bon mais c'est lent. Il faut aussi permettre que l'utilisateur insère lui-meme la date.</t>
    </r>
  </si>
  <si>
    <r>
      <t>Configuration des user</t>
    </r>
    <r>
      <rPr>
        <b/>
        <sz val="14"/>
        <color rgb="FF000000"/>
        <rFont val="Calibri"/>
        <family val="2"/>
        <scheme val="minor"/>
      </rPr>
      <t>: Qui attribue les mots de passe? Chacun a-til la possibilité de changer le sien? Néamoins il faut que le surper-Admi voit tous les mots de pass</t>
    </r>
  </si>
  <si>
    <r>
      <t>Le passage en classe supérieur</t>
    </r>
    <r>
      <rPr>
        <b/>
        <sz val="14"/>
        <color rgb="FF000000"/>
        <rFont val="Calibri"/>
        <family val="2"/>
        <scheme val="minor"/>
      </rPr>
      <t>, l'année suivante: un à un ou par groupe?</t>
    </r>
  </si>
  <si>
    <t>Concernan les abndons:</t>
  </si>
  <si>
    <r>
      <t xml:space="preserve">Concernan les abndons: </t>
    </r>
    <r>
      <rPr>
        <b/>
        <sz val="14"/>
        <color rgb="FF000000"/>
        <rFont val="Calibri"/>
        <family val="2"/>
        <scheme val="minor"/>
      </rPr>
      <t>, Faire le point de leurs apports et il est bon que le manque à gagner soit connu meme s'il est à etre considéré en terme de "perte et profi"</t>
    </r>
  </si>
  <si>
    <r>
      <t xml:space="preserve">remise </t>
    </r>
    <r>
      <rPr>
        <i/>
        <sz val="11"/>
        <color rgb="FF00B050"/>
        <rFont val="Calibri"/>
        <family val="2"/>
        <scheme val="minor"/>
      </rPr>
      <t>(taux à indiquer par l'admin)</t>
    </r>
  </si>
  <si>
    <r>
      <t>reduction_affiliation</t>
    </r>
    <r>
      <rPr>
        <i/>
        <sz val="11"/>
        <color rgb="FF00B050"/>
        <rFont val="Calibri"/>
        <family val="2"/>
        <scheme val="minor"/>
      </rPr>
      <t xml:space="preserve"> (taux à indiquer automatiquement selon statut affiliation de l'élève)</t>
    </r>
  </si>
  <si>
    <r>
      <t xml:space="preserve">statut_affiliation </t>
    </r>
    <r>
      <rPr>
        <i/>
        <sz val="11"/>
        <color rgb="FF00B050"/>
        <rFont val="Calibri"/>
        <family val="2"/>
        <scheme val="minor"/>
      </rPr>
      <t>(fils personnel catholique, fils personnel ndi, ras)</t>
    </r>
  </si>
  <si>
    <t>article</t>
  </si>
  <si>
    <t>commande</t>
  </si>
  <si>
    <t>agent</t>
  </si>
  <si>
    <t>debit_article</t>
  </si>
  <si>
    <t>credit_article</t>
  </si>
  <si>
    <t>img</t>
  </si>
  <si>
    <t>pu_vente</t>
  </si>
  <si>
    <t>pu_achat</t>
  </si>
  <si>
    <t>sku</t>
  </si>
  <si>
    <t>qte</t>
  </si>
  <si>
    <t>user_add</t>
  </si>
  <si>
    <t>user_del</t>
  </si>
  <si>
    <t>user_val</t>
  </si>
  <si>
    <t>commande_article</t>
  </si>
  <si>
    <t>type_piece</t>
  </si>
  <si>
    <t>num_piece</t>
  </si>
  <si>
    <t>lieu_livraison</t>
  </si>
  <si>
    <t>frais_livraison</t>
  </si>
  <si>
    <t>numero_client</t>
  </si>
  <si>
    <t>etat_livraison</t>
  </si>
  <si>
    <t>date_livraison</t>
  </si>
  <si>
    <t>etat_retour</t>
  </si>
  <si>
    <t>date_retour</t>
  </si>
  <si>
    <t>montant_recu</t>
  </si>
  <si>
    <t>agent_livreur</t>
  </si>
  <si>
    <t>user_montant</t>
  </si>
  <si>
    <t>commentaire</t>
  </si>
  <si>
    <t>etat_defectueux</t>
  </si>
  <si>
    <t>type_commande</t>
  </si>
  <si>
    <t>entree</t>
  </si>
  <si>
    <t>sortie</t>
  </si>
  <si>
    <t>ref_article</t>
  </si>
  <si>
    <t>article_vals</t>
  </si>
  <si>
    <t>commande_adds</t>
  </si>
  <si>
    <t>commande_montants</t>
  </si>
  <si>
    <t>debit_articles</t>
  </si>
  <si>
    <t>credit_articles</t>
  </si>
  <si>
    <t>commande_articles</t>
  </si>
  <si>
    <r>
      <t xml:space="preserve">sku </t>
    </r>
    <r>
      <rPr>
        <sz val="11"/>
        <color theme="1"/>
        <rFont val="Calibri"/>
        <family val="2"/>
        <scheme val="minor"/>
      </rPr>
      <t>(https://thierry-godin.developpez.com/php/code-barre/#LVI)</t>
    </r>
  </si>
  <si>
    <t>agents</t>
  </si>
  <si>
    <t>articles_adds</t>
  </si>
  <si>
    <t>articles_dels</t>
  </si>
  <si>
    <t>nom_client (fb, jumia, externe)</t>
  </si>
  <si>
    <t>commandes</t>
  </si>
  <si>
    <t>sorties</t>
  </si>
  <si>
    <t>date_reception</t>
  </si>
  <si>
    <t>etat_reception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</si>
</sst>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9"/>
      <color theme="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name val="Calibri"/>
      <family val="2"/>
    </font>
    <font>
      <b/>
      <sz val="9"/>
      <name val="Arial"/>
      <family val="2"/>
    </font>
    <font>
      <b/>
      <sz val="10"/>
      <color rgb="FF222222"/>
      <name val="Arial"/>
      <family val="2"/>
    </font>
    <font>
      <sz val="12"/>
      <name val="Times New Roman"/>
      <family val="1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4" borderId="0" xfId="0" applyFill="1"/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14" fontId="19" fillId="0" borderId="5" xfId="0" applyNumberFormat="1" applyFont="1" applyBorder="1" applyAlignment="1">
      <alignment textRotation="45"/>
    </xf>
    <xf numFmtId="14" fontId="19" fillId="0" borderId="6" xfId="0" applyNumberFormat="1" applyFont="1" applyBorder="1" applyAlignment="1">
      <alignment textRotation="45"/>
    </xf>
    <xf numFmtId="14" fontId="19" fillId="0" borderId="7" xfId="0" applyNumberFormat="1" applyFont="1" applyBorder="1" applyAlignment="1">
      <alignment textRotation="45"/>
    </xf>
    <xf numFmtId="14" fontId="19" fillId="0" borderId="8" xfId="0" applyNumberFormat="1" applyFont="1" applyBorder="1" applyAlignment="1">
      <alignment textRotation="45"/>
    </xf>
    <xf numFmtId="17" fontId="20" fillId="0" borderId="10" xfId="0" applyNumberFormat="1" applyFont="1" applyBorder="1" applyAlignment="1">
      <alignment horizontal="center" vertical="center"/>
    </xf>
    <xf numFmtId="12" fontId="15" fillId="6" borderId="12" xfId="0" applyNumberFormat="1" applyFont="1" applyFill="1" applyBorder="1" applyAlignment="1">
      <alignment horizontal="center" vertical="center" wrapText="1"/>
    </xf>
    <xf numFmtId="12" fontId="15" fillId="6" borderId="3" xfId="0" applyNumberFormat="1" applyFont="1" applyFill="1" applyBorder="1" applyAlignment="1">
      <alignment horizontal="center" vertical="center" wrapText="1"/>
    </xf>
    <xf numFmtId="12" fontId="15" fillId="6" borderId="13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/>
    <xf numFmtId="0" fontId="15" fillId="7" borderId="17" xfId="0" applyFont="1" applyFill="1" applyBorder="1"/>
    <xf numFmtId="0" fontId="15" fillId="7" borderId="18" xfId="0" applyFont="1" applyFill="1" applyBorder="1"/>
    <xf numFmtId="0" fontId="22" fillId="7" borderId="18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vertical="center" wrapText="1"/>
    </xf>
    <xf numFmtId="0" fontId="24" fillId="7" borderId="1" xfId="0" applyFont="1" applyFill="1" applyBorder="1"/>
    <xf numFmtId="0" fontId="0" fillId="0" borderId="0" xfId="0" applyAlignment="1">
      <alignment vertical="center" wrapText="1"/>
    </xf>
    <xf numFmtId="0" fontId="24" fillId="7" borderId="17" xfId="0" applyFont="1" applyFill="1" applyBorder="1"/>
    <xf numFmtId="0" fontId="22" fillId="7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15" fillId="8" borderId="16" xfId="0" applyFont="1" applyFill="1" applyBorder="1"/>
    <xf numFmtId="0" fontId="15" fillId="8" borderId="1" xfId="0" applyFont="1" applyFill="1" applyBorder="1"/>
    <xf numFmtId="0" fontId="15" fillId="8" borderId="17" xfId="0" applyFont="1" applyFill="1" applyBorder="1"/>
    <xf numFmtId="0" fontId="15" fillId="8" borderId="18" xfId="0" applyFont="1" applyFill="1" applyBorder="1"/>
    <xf numFmtId="0" fontId="16" fillId="8" borderId="18" xfId="0" applyFont="1" applyFill="1" applyBorder="1" applyAlignment="1">
      <alignment horizontal="center" vertical="center" wrapText="1"/>
    </xf>
    <xf numFmtId="0" fontId="24" fillId="8" borderId="1" xfId="0" applyFont="1" applyFill="1" applyBorder="1"/>
    <xf numFmtId="0" fontId="15" fillId="8" borderId="22" xfId="0" applyFont="1" applyFill="1" applyBorder="1"/>
    <xf numFmtId="0" fontId="15" fillId="7" borderId="23" xfId="0" applyFont="1" applyFill="1" applyBorder="1"/>
    <xf numFmtId="0" fontId="15" fillId="7" borderId="24" xfId="0" applyFont="1" applyFill="1" applyBorder="1"/>
    <xf numFmtId="0" fontId="15" fillId="7" borderId="15" xfId="0" applyFont="1" applyFill="1" applyBorder="1"/>
    <xf numFmtId="0" fontId="15" fillId="7" borderId="14" xfId="0" applyFont="1" applyFill="1" applyBorder="1"/>
    <xf numFmtId="0" fontId="15" fillId="7" borderId="22" xfId="0" applyFont="1" applyFill="1" applyBorder="1"/>
    <xf numFmtId="0" fontId="16" fillId="8" borderId="25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15" fillId="8" borderId="2" xfId="0" applyFont="1" applyFill="1" applyBorder="1"/>
    <xf numFmtId="0" fontId="24" fillId="0" borderId="16" xfId="0" applyFont="1" applyFill="1" applyBorder="1"/>
    <xf numFmtId="0" fontId="24" fillId="0" borderId="1" xfId="0" applyFont="1" applyFill="1" applyBorder="1"/>
    <xf numFmtId="0" fontId="24" fillId="0" borderId="17" xfId="0" applyFont="1" applyFill="1" applyBorder="1"/>
    <xf numFmtId="0" fontId="24" fillId="0" borderId="18" xfId="0" applyFont="1" applyFill="1" applyBorder="1"/>
    <xf numFmtId="0" fontId="15" fillId="0" borderId="16" xfId="0" applyFont="1" applyFill="1" applyBorder="1"/>
    <xf numFmtId="0" fontId="15" fillId="0" borderId="1" xfId="0" applyFont="1" applyFill="1" applyBorder="1"/>
    <xf numFmtId="0" fontId="15" fillId="0" borderId="17" xfId="0" applyFont="1" applyFill="1" applyBorder="1"/>
    <xf numFmtId="0" fontId="15" fillId="0" borderId="18" xfId="0" applyFont="1" applyFill="1" applyBorder="1"/>
    <xf numFmtId="0" fontId="15" fillId="0" borderId="21" xfId="0" applyFont="1" applyFill="1" applyBorder="1"/>
    <xf numFmtId="0" fontId="15" fillId="0" borderId="22" xfId="0" applyFont="1" applyFill="1" applyBorder="1"/>
    <xf numFmtId="0" fontId="15" fillId="0" borderId="20" xfId="0" applyFont="1" applyFill="1" applyBorder="1"/>
    <xf numFmtId="0" fontId="15" fillId="0" borderId="19" xfId="0" applyFont="1" applyFill="1" applyBorder="1"/>
    <xf numFmtId="0" fontId="15" fillId="0" borderId="26" xfId="0" applyFont="1" applyFill="1" applyBorder="1"/>
    <xf numFmtId="0" fontId="15" fillId="0" borderId="2" xfId="0" applyFont="1" applyFill="1" applyBorder="1"/>
    <xf numFmtId="0" fontId="15" fillId="0" borderId="27" xfId="0" applyFont="1" applyFill="1" applyBorder="1"/>
    <xf numFmtId="0" fontId="15" fillId="0" borderId="25" xfId="0" applyFont="1" applyFill="1" applyBorder="1"/>
    <xf numFmtId="0" fontId="15" fillId="8" borderId="27" xfId="0" applyFont="1" applyFill="1" applyBorder="1"/>
    <xf numFmtId="0" fontId="26" fillId="0" borderId="28" xfId="0" applyFont="1" applyBorder="1" applyAlignment="1">
      <alignment vertical="center"/>
    </xf>
    <xf numFmtId="0" fontId="26" fillId="0" borderId="28" xfId="0" applyFont="1" applyBorder="1" applyAlignment="1">
      <alignment wrapText="1"/>
    </xf>
    <xf numFmtId="0" fontId="0" fillId="0" borderId="28" xfId="0" applyBorder="1" applyAlignment="1">
      <alignment wrapText="1"/>
    </xf>
    <xf numFmtId="0" fontId="27" fillId="0" borderId="28" xfId="0" applyFont="1" applyBorder="1" applyAlignment="1">
      <alignment vertical="center"/>
    </xf>
    <xf numFmtId="0" fontId="27" fillId="0" borderId="28" xfId="0" applyFont="1" applyBorder="1" applyAlignment="1">
      <alignment wrapText="1"/>
    </xf>
    <xf numFmtId="0" fontId="0" fillId="0" borderId="1" xfId="0" applyBorder="1"/>
    <xf numFmtId="0" fontId="25" fillId="8" borderId="14" xfId="0" applyFont="1" applyFill="1" applyBorder="1" applyAlignment="1">
      <alignment horizontal="center" vertical="center" wrapText="1"/>
    </xf>
    <xf numFmtId="0" fontId="25" fillId="8" borderId="15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1" fillId="7" borderId="14" xfId="0" applyFont="1" applyFill="1" applyBorder="1" applyAlignment="1">
      <alignment horizontal="center"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0" fillId="0" borderId="0" xfId="0" applyBorder="1"/>
    <xf numFmtId="0" fontId="29" fillId="0" borderId="1" xfId="0" applyFont="1" applyBorder="1"/>
    <xf numFmtId="0" fontId="0" fillId="7" borderId="0" xfId="0" applyFill="1"/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0" fillId="0" borderId="1" xfId="0" applyFont="1" applyBorder="1"/>
    <xf numFmtId="0" fontId="30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6"/>
  <sheetViews>
    <sheetView tabSelected="1" topLeftCell="A13" zoomScale="80" zoomScaleNormal="80" workbookViewId="0">
      <selection activeCell="U21" sqref="U21"/>
    </sheetView>
  </sheetViews>
  <sheetFormatPr baseColWidth="10" defaultRowHeight="15" x14ac:dyDescent="0.25"/>
  <cols>
    <col min="2" max="2" width="17.42578125" hidden="1" customWidth="1"/>
    <col min="3" max="3" width="16" hidden="1" customWidth="1"/>
    <col min="4" max="4" width="30" hidden="1" customWidth="1"/>
    <col min="5" max="5" width="42.7109375" hidden="1" customWidth="1"/>
    <col min="6" max="7" width="17.28515625" hidden="1" customWidth="1"/>
    <col min="8" max="8" width="14" hidden="1" customWidth="1"/>
    <col min="9" max="9" width="34.28515625" hidden="1" customWidth="1"/>
    <col min="10" max="10" width="32.7109375" hidden="1" customWidth="1"/>
    <col min="11" max="11" width="23.42578125" hidden="1" customWidth="1"/>
    <col min="12" max="12" width="24" hidden="1" customWidth="1"/>
    <col min="13" max="13" width="28.7109375" hidden="1" customWidth="1"/>
    <col min="14" max="14" width="18.85546875" hidden="1" customWidth="1"/>
    <col min="15" max="15" width="22.28515625" hidden="1" customWidth="1"/>
    <col min="16" max="16" width="36.7109375" hidden="1" customWidth="1"/>
    <col min="17" max="17" width="25.5703125" hidden="1" customWidth="1"/>
    <col min="18" max="18" width="22.85546875" hidden="1" customWidth="1"/>
    <col min="19" max="21" width="20" customWidth="1"/>
    <col min="22" max="22" width="20.5703125" customWidth="1"/>
    <col min="23" max="27" width="20" customWidth="1"/>
  </cols>
  <sheetData>
    <row r="1" spans="2:27" x14ac:dyDescent="0.25">
      <c r="F1" s="1"/>
      <c r="G1" s="1"/>
      <c r="H1" s="1"/>
      <c r="I1" s="1"/>
      <c r="J1" s="1"/>
      <c r="K1" s="1"/>
      <c r="S1" s="94"/>
      <c r="T1" s="94"/>
      <c r="U1" s="94"/>
      <c r="V1" s="94"/>
      <c r="W1" s="94"/>
      <c r="X1" s="94"/>
      <c r="Y1" s="94"/>
    </row>
    <row r="2" spans="2:27" ht="20.25" customHeight="1" x14ac:dyDescent="0.25">
      <c r="B2" s="95" t="s">
        <v>23</v>
      </c>
      <c r="C2" s="95" t="s">
        <v>24</v>
      </c>
      <c r="D2" s="95" t="s">
        <v>25</v>
      </c>
      <c r="E2" s="95" t="s">
        <v>28</v>
      </c>
      <c r="F2" s="95" t="s">
        <v>29</v>
      </c>
      <c r="G2" s="95" t="s">
        <v>53</v>
      </c>
      <c r="H2" s="95" t="s">
        <v>30</v>
      </c>
      <c r="I2" s="95" t="s">
        <v>55</v>
      </c>
      <c r="J2" s="95" t="s">
        <v>31</v>
      </c>
      <c r="K2" s="95" t="s">
        <v>127</v>
      </c>
      <c r="L2" s="95" t="s">
        <v>0</v>
      </c>
      <c r="M2" s="95" t="s">
        <v>45</v>
      </c>
      <c r="N2" s="95" t="s">
        <v>46</v>
      </c>
      <c r="O2" s="95" t="s">
        <v>126</v>
      </c>
      <c r="P2" s="95" t="s">
        <v>125</v>
      </c>
      <c r="Q2" s="95" t="s">
        <v>57</v>
      </c>
      <c r="R2" s="95" t="s">
        <v>68</v>
      </c>
      <c r="S2" s="95" t="s">
        <v>169</v>
      </c>
      <c r="T2" s="95" t="s">
        <v>170</v>
      </c>
      <c r="U2" s="95" t="s">
        <v>171</v>
      </c>
      <c r="V2" s="95" t="s">
        <v>11</v>
      </c>
      <c r="W2" s="95" t="s">
        <v>172</v>
      </c>
      <c r="X2" s="95" t="s">
        <v>173</v>
      </c>
      <c r="Y2" s="95" t="s">
        <v>182</v>
      </c>
      <c r="Z2" s="95" t="s">
        <v>198</v>
      </c>
      <c r="AA2" s="95" t="s">
        <v>199</v>
      </c>
    </row>
    <row r="3" spans="2:27" ht="20.25" customHeight="1" x14ac:dyDescent="0.25">
      <c r="B3" s="96" t="s">
        <v>76</v>
      </c>
      <c r="C3" s="96" t="s">
        <v>77</v>
      </c>
      <c r="D3" s="96" t="s">
        <v>78</v>
      </c>
      <c r="E3" s="96" t="s">
        <v>128</v>
      </c>
      <c r="F3" s="96" t="s">
        <v>80</v>
      </c>
      <c r="G3" s="96" t="s">
        <v>79</v>
      </c>
      <c r="H3" s="96" t="s">
        <v>81</v>
      </c>
      <c r="I3" s="96" t="s">
        <v>129</v>
      </c>
      <c r="J3" s="96" t="s">
        <v>100</v>
      </c>
      <c r="K3" s="96" t="s">
        <v>82</v>
      </c>
      <c r="L3" s="96" t="s">
        <v>83</v>
      </c>
      <c r="M3" s="96" t="s">
        <v>84</v>
      </c>
      <c r="N3" s="96" t="s">
        <v>85</v>
      </c>
      <c r="O3" s="96" t="s">
        <v>86</v>
      </c>
      <c r="P3" s="96" t="s">
        <v>130</v>
      </c>
      <c r="Q3" s="96" t="s">
        <v>87</v>
      </c>
      <c r="R3" s="96" t="s">
        <v>88</v>
      </c>
      <c r="S3" s="78"/>
      <c r="T3" s="78"/>
      <c r="U3" s="78"/>
      <c r="V3" s="78"/>
      <c r="W3" s="78"/>
      <c r="X3" s="78"/>
      <c r="Y3" s="78"/>
      <c r="Z3" s="78"/>
      <c r="AA3" s="78"/>
    </row>
    <row r="4" spans="2:27" ht="20.25" customHeight="1" x14ac:dyDescent="0.25"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3" t="s">
        <v>14</v>
      </c>
      <c r="M4" s="3" t="s">
        <v>14</v>
      </c>
      <c r="N4" s="3" t="s">
        <v>14</v>
      </c>
      <c r="O4" s="3" t="s">
        <v>14</v>
      </c>
      <c r="P4" s="3" t="s">
        <v>14</v>
      </c>
      <c r="Q4" s="3" t="s">
        <v>14</v>
      </c>
      <c r="R4" s="3" t="s">
        <v>14</v>
      </c>
      <c r="S4" s="3" t="s">
        <v>14</v>
      </c>
      <c r="T4" s="3" t="s">
        <v>14</v>
      </c>
      <c r="U4" s="3" t="s">
        <v>14</v>
      </c>
      <c r="V4" s="3" t="s">
        <v>14</v>
      </c>
      <c r="W4" s="3" t="s">
        <v>14</v>
      </c>
      <c r="X4" s="3" t="s">
        <v>14</v>
      </c>
      <c r="Y4" s="3" t="s">
        <v>14</v>
      </c>
      <c r="Z4" s="3" t="s">
        <v>14</v>
      </c>
      <c r="AA4" s="3" t="s">
        <v>14</v>
      </c>
    </row>
    <row r="5" spans="2:27" ht="20.25" customHeight="1" x14ac:dyDescent="0.25">
      <c r="B5" s="4" t="s">
        <v>94</v>
      </c>
      <c r="C5" s="4" t="s">
        <v>15</v>
      </c>
      <c r="D5" s="4" t="s">
        <v>15</v>
      </c>
      <c r="E5" s="4" t="s">
        <v>15</v>
      </c>
      <c r="F5" s="4" t="s">
        <v>16</v>
      </c>
      <c r="G5" s="4" t="s">
        <v>54</v>
      </c>
      <c r="H5" s="4" t="s">
        <v>16</v>
      </c>
      <c r="I5" s="4" t="s">
        <v>15</v>
      </c>
      <c r="J5" s="4" t="s">
        <v>16</v>
      </c>
      <c r="K5" s="4" t="s">
        <v>107</v>
      </c>
      <c r="L5" s="5" t="s">
        <v>17</v>
      </c>
      <c r="M5" s="5" t="s">
        <v>15</v>
      </c>
      <c r="N5" s="5" t="s">
        <v>47</v>
      </c>
      <c r="O5" s="6" t="s">
        <v>50</v>
      </c>
      <c r="P5" s="6" t="s">
        <v>117</v>
      </c>
      <c r="Q5" s="6" t="s">
        <v>16</v>
      </c>
      <c r="R5" s="6" t="s">
        <v>16</v>
      </c>
      <c r="S5" s="6" t="s">
        <v>174</v>
      </c>
      <c r="T5" s="90" t="s">
        <v>197</v>
      </c>
      <c r="U5" s="6" t="s">
        <v>5</v>
      </c>
      <c r="V5" s="5" t="s">
        <v>17</v>
      </c>
      <c r="W5" s="78" t="s">
        <v>178</v>
      </c>
      <c r="X5" s="78" t="s">
        <v>178</v>
      </c>
      <c r="Y5" s="78" t="s">
        <v>178</v>
      </c>
      <c r="Z5" s="78" t="s">
        <v>16</v>
      </c>
      <c r="AA5" s="78" t="s">
        <v>16</v>
      </c>
    </row>
    <row r="6" spans="2:27" ht="20.25" customHeight="1" x14ac:dyDescent="0.25">
      <c r="B6" s="4" t="s">
        <v>95</v>
      </c>
      <c r="C6" s="7" t="s">
        <v>1</v>
      </c>
      <c r="D6" s="4" t="s">
        <v>90</v>
      </c>
      <c r="E6" s="4" t="s">
        <v>92</v>
      </c>
      <c r="F6" s="8" t="s">
        <v>93</v>
      </c>
      <c r="G6" s="8" t="s">
        <v>93</v>
      </c>
      <c r="H6" s="4" t="s">
        <v>97</v>
      </c>
      <c r="I6" s="4" t="s">
        <v>98</v>
      </c>
      <c r="J6" s="4" t="s">
        <v>110</v>
      </c>
      <c r="K6" s="9" t="s">
        <v>106</v>
      </c>
      <c r="L6" s="5" t="s">
        <v>12</v>
      </c>
      <c r="M6" s="10" t="s">
        <v>109</v>
      </c>
      <c r="N6" s="5" t="s">
        <v>48</v>
      </c>
      <c r="O6" s="6" t="s">
        <v>22</v>
      </c>
      <c r="P6" s="6" t="s">
        <v>116</v>
      </c>
      <c r="Q6" s="6" t="s">
        <v>50</v>
      </c>
      <c r="R6" s="6" t="s">
        <v>50</v>
      </c>
      <c r="S6" s="6" t="s">
        <v>5</v>
      </c>
      <c r="T6" s="6" t="s">
        <v>211</v>
      </c>
      <c r="U6" s="6" t="s">
        <v>6</v>
      </c>
      <c r="V6" s="5" t="s">
        <v>12</v>
      </c>
      <c r="W6" s="90" t="s">
        <v>50</v>
      </c>
      <c r="X6" s="90" t="s">
        <v>50</v>
      </c>
      <c r="Y6" s="6" t="s">
        <v>175</v>
      </c>
      <c r="Z6" s="6" t="s">
        <v>50</v>
      </c>
      <c r="AA6" s="6" t="s">
        <v>50</v>
      </c>
    </row>
    <row r="7" spans="2:27" ht="20.25" customHeight="1" x14ac:dyDescent="0.25">
      <c r="B7" s="4" t="s">
        <v>96</v>
      </c>
      <c r="C7" s="7" t="s">
        <v>2</v>
      </c>
      <c r="D7" s="4" t="s">
        <v>91</v>
      </c>
      <c r="E7" s="7" t="s">
        <v>1</v>
      </c>
      <c r="F7" s="7" t="s">
        <v>1</v>
      </c>
      <c r="G7" s="7" t="s">
        <v>1</v>
      </c>
      <c r="H7" s="7" t="s">
        <v>1</v>
      </c>
      <c r="I7" s="11" t="s">
        <v>16</v>
      </c>
      <c r="J7" s="4" t="s">
        <v>112</v>
      </c>
      <c r="K7" s="4" t="s">
        <v>5</v>
      </c>
      <c r="L7" s="6" t="s">
        <v>10</v>
      </c>
      <c r="M7" s="7" t="s">
        <v>1</v>
      </c>
      <c r="N7" s="6" t="s">
        <v>9</v>
      </c>
      <c r="O7" s="6" t="s">
        <v>114</v>
      </c>
      <c r="P7" s="6" t="s">
        <v>51</v>
      </c>
      <c r="Q7" s="5" t="s">
        <v>1</v>
      </c>
      <c r="R7" s="5" t="s">
        <v>1</v>
      </c>
      <c r="S7" s="6" t="s">
        <v>175</v>
      </c>
      <c r="T7" s="6" t="s">
        <v>187</v>
      </c>
      <c r="U7" s="6" t="s">
        <v>9</v>
      </c>
      <c r="V7" s="6" t="s">
        <v>10</v>
      </c>
      <c r="W7" s="6" t="s">
        <v>200</v>
      </c>
      <c r="X7" s="5" t="s">
        <v>1</v>
      </c>
      <c r="Y7" s="6" t="s">
        <v>176</v>
      </c>
      <c r="Z7" s="5" t="s">
        <v>1</v>
      </c>
      <c r="AA7" s="5" t="s">
        <v>1</v>
      </c>
    </row>
    <row r="8" spans="2:27" ht="20.25" customHeight="1" x14ac:dyDescent="0.25">
      <c r="B8" s="7" t="s">
        <v>1</v>
      </c>
      <c r="C8" s="7" t="s">
        <v>3</v>
      </c>
      <c r="D8" s="4" t="s">
        <v>89</v>
      </c>
      <c r="E8" s="7" t="s">
        <v>2</v>
      </c>
      <c r="F8" s="7" t="s">
        <v>2</v>
      </c>
      <c r="G8" s="7" t="s">
        <v>2</v>
      </c>
      <c r="H8" s="7" t="s">
        <v>2</v>
      </c>
      <c r="I8" s="7" t="s">
        <v>1</v>
      </c>
      <c r="J8" s="4" t="s">
        <v>111</v>
      </c>
      <c r="K8" s="4" t="s">
        <v>6</v>
      </c>
      <c r="L8" s="5" t="s">
        <v>5</v>
      </c>
      <c r="M8" s="7" t="s">
        <v>2</v>
      </c>
      <c r="N8" s="6" t="s">
        <v>49</v>
      </c>
      <c r="O8" s="5" t="s">
        <v>1</v>
      </c>
      <c r="P8" s="5" t="s">
        <v>1</v>
      </c>
      <c r="Q8" s="5" t="s">
        <v>2</v>
      </c>
      <c r="R8" s="5" t="s">
        <v>2</v>
      </c>
      <c r="S8" s="6" t="s">
        <v>176</v>
      </c>
      <c r="T8" s="6" t="s">
        <v>185</v>
      </c>
      <c r="U8" s="90" t="s">
        <v>183</v>
      </c>
      <c r="V8" s="5" t="s">
        <v>5</v>
      </c>
      <c r="W8" s="6" t="s">
        <v>196</v>
      </c>
      <c r="X8" s="14" t="s">
        <v>169</v>
      </c>
      <c r="Y8" s="5" t="s">
        <v>1</v>
      </c>
      <c r="Z8" s="5" t="s">
        <v>2</v>
      </c>
      <c r="AA8" s="5" t="s">
        <v>2</v>
      </c>
    </row>
    <row r="9" spans="2:27" ht="20.25" customHeight="1" x14ac:dyDescent="0.25">
      <c r="B9" s="7" t="s">
        <v>2</v>
      </c>
      <c r="C9" s="7" t="s">
        <v>4</v>
      </c>
      <c r="D9" s="7" t="s">
        <v>1</v>
      </c>
      <c r="E9" s="7" t="s">
        <v>3</v>
      </c>
      <c r="F9" s="7" t="s">
        <v>3</v>
      </c>
      <c r="G9" s="7" t="s">
        <v>3</v>
      </c>
      <c r="H9" s="7" t="s">
        <v>3</v>
      </c>
      <c r="I9" s="7" t="s">
        <v>2</v>
      </c>
      <c r="J9" s="7" t="s">
        <v>1</v>
      </c>
      <c r="K9" s="4" t="s">
        <v>8</v>
      </c>
      <c r="L9" s="5" t="s">
        <v>6</v>
      </c>
      <c r="M9" s="7" t="s">
        <v>3</v>
      </c>
      <c r="N9" s="4" t="s">
        <v>113</v>
      </c>
      <c r="O9" s="7" t="s">
        <v>2</v>
      </c>
      <c r="P9" s="7" t="s">
        <v>2</v>
      </c>
      <c r="Q9" s="7" t="s">
        <v>3</v>
      </c>
      <c r="R9" s="7" t="s">
        <v>3</v>
      </c>
      <c r="S9" s="5" t="s">
        <v>1</v>
      </c>
      <c r="T9" s="6" t="s">
        <v>186</v>
      </c>
      <c r="U9" s="6" t="s">
        <v>184</v>
      </c>
      <c r="V9" s="5" t="s">
        <v>6</v>
      </c>
      <c r="W9" s="5" t="s">
        <v>1</v>
      </c>
      <c r="X9" s="14" t="s">
        <v>179</v>
      </c>
      <c r="Y9" s="5" t="s">
        <v>2</v>
      </c>
      <c r="Z9" s="7" t="s">
        <v>3</v>
      </c>
      <c r="AA9" s="7" t="s">
        <v>3</v>
      </c>
    </row>
    <row r="10" spans="2:27" ht="20.25" customHeight="1" x14ac:dyDescent="0.25">
      <c r="B10" s="7" t="s">
        <v>3</v>
      </c>
      <c r="C10" s="12" t="s">
        <v>63</v>
      </c>
      <c r="D10" s="7" t="s">
        <v>2</v>
      </c>
      <c r="E10" s="7" t="s">
        <v>4</v>
      </c>
      <c r="F10" s="7" t="s">
        <v>4</v>
      </c>
      <c r="G10" s="7" t="s">
        <v>4</v>
      </c>
      <c r="H10" s="7" t="s">
        <v>4</v>
      </c>
      <c r="I10" s="7" t="s">
        <v>3</v>
      </c>
      <c r="J10" s="7" t="s">
        <v>2</v>
      </c>
      <c r="K10" s="4" t="s">
        <v>36</v>
      </c>
      <c r="L10" s="5" t="s">
        <v>9</v>
      </c>
      <c r="M10" s="7" t="s">
        <v>4</v>
      </c>
      <c r="N10" s="7"/>
      <c r="O10" s="7" t="s">
        <v>3</v>
      </c>
      <c r="P10" s="7" t="s">
        <v>3</v>
      </c>
      <c r="Q10" s="7" t="s">
        <v>4</v>
      </c>
      <c r="R10" s="7" t="s">
        <v>4</v>
      </c>
      <c r="S10" s="5" t="s">
        <v>2</v>
      </c>
      <c r="T10" s="91" t="s">
        <v>177</v>
      </c>
      <c r="U10" s="5" t="s">
        <v>1</v>
      </c>
      <c r="V10" s="5" t="s">
        <v>9</v>
      </c>
      <c r="W10" s="14" t="s">
        <v>169</v>
      </c>
      <c r="X10" s="78"/>
      <c r="Y10" s="7" t="s">
        <v>3</v>
      </c>
      <c r="Z10" s="7" t="s">
        <v>4</v>
      </c>
      <c r="AA10" s="7" t="s">
        <v>4</v>
      </c>
    </row>
    <row r="11" spans="2:27" ht="20.25" customHeight="1" x14ac:dyDescent="0.25">
      <c r="B11" s="7" t="s">
        <v>4</v>
      </c>
      <c r="C11" s="12" t="s">
        <v>62</v>
      </c>
      <c r="D11" s="7" t="s">
        <v>3</v>
      </c>
      <c r="E11" s="13" t="s">
        <v>19</v>
      </c>
      <c r="F11" s="14" t="s">
        <v>19</v>
      </c>
      <c r="G11" s="14" t="s">
        <v>19</v>
      </c>
      <c r="H11" s="13" t="s">
        <v>21</v>
      </c>
      <c r="I11" s="7" t="s">
        <v>4</v>
      </c>
      <c r="J11" s="7" t="s">
        <v>3</v>
      </c>
      <c r="K11" s="4" t="s">
        <v>7</v>
      </c>
      <c r="L11" s="5" t="s">
        <v>1</v>
      </c>
      <c r="M11" s="12" t="s">
        <v>72</v>
      </c>
      <c r="N11" s="7"/>
      <c r="O11" s="7" t="s">
        <v>4</v>
      </c>
      <c r="P11" s="7" t="s">
        <v>4</v>
      </c>
      <c r="Q11" s="13" t="s">
        <v>124</v>
      </c>
      <c r="R11" s="13" t="s">
        <v>123</v>
      </c>
      <c r="S11" s="7" t="s">
        <v>3</v>
      </c>
      <c r="T11" s="6" t="s">
        <v>195</v>
      </c>
      <c r="U11" s="5" t="s">
        <v>2</v>
      </c>
      <c r="V11" s="90" t="s">
        <v>13</v>
      </c>
      <c r="W11" s="14" t="s">
        <v>179</v>
      </c>
      <c r="X11" s="78"/>
      <c r="Y11" s="7" t="s">
        <v>4</v>
      </c>
      <c r="Z11" s="14" t="s">
        <v>179</v>
      </c>
      <c r="AA11" s="14" t="s">
        <v>179</v>
      </c>
    </row>
    <row r="12" spans="2:27" ht="20.25" customHeight="1" x14ac:dyDescent="0.25">
      <c r="B12" s="12" t="s">
        <v>63</v>
      </c>
      <c r="C12" s="12" t="s">
        <v>61</v>
      </c>
      <c r="D12" s="7" t="s">
        <v>4</v>
      </c>
      <c r="E12" s="13" t="s">
        <v>18</v>
      </c>
      <c r="F12" s="14" t="s">
        <v>18</v>
      </c>
      <c r="G12" s="14" t="s">
        <v>18</v>
      </c>
      <c r="H12" s="14"/>
      <c r="I12" s="13" t="s">
        <v>99</v>
      </c>
      <c r="J12" s="7" t="s">
        <v>4</v>
      </c>
      <c r="K12" s="4" t="s">
        <v>32</v>
      </c>
      <c r="L12" s="5" t="s">
        <v>2</v>
      </c>
      <c r="M12" s="7"/>
      <c r="N12" s="7"/>
      <c r="O12" s="13" t="s">
        <v>69</v>
      </c>
      <c r="P12" s="13" t="s">
        <v>52</v>
      </c>
      <c r="Q12" s="14" t="s">
        <v>27</v>
      </c>
      <c r="R12" s="14" t="s">
        <v>27</v>
      </c>
      <c r="S12" s="7" t="s">
        <v>4</v>
      </c>
      <c r="T12" s="6" t="s">
        <v>192</v>
      </c>
      <c r="U12" s="7" t="s">
        <v>3</v>
      </c>
      <c r="V12" s="5" t="s">
        <v>1</v>
      </c>
      <c r="W12" s="78"/>
      <c r="X12" s="78"/>
      <c r="Y12" s="14" t="s">
        <v>169</v>
      </c>
      <c r="Z12" s="78"/>
      <c r="AA12" s="78"/>
    </row>
    <row r="13" spans="2:27" ht="20.25" customHeight="1" x14ac:dyDescent="0.25">
      <c r="B13" s="12" t="s">
        <v>62</v>
      </c>
      <c r="C13" s="12" t="s">
        <v>60</v>
      </c>
      <c r="D13" s="12" t="s">
        <v>63</v>
      </c>
      <c r="E13" s="14" t="s">
        <v>27</v>
      </c>
      <c r="F13" s="14" t="s">
        <v>27</v>
      </c>
      <c r="G13" s="14" t="s">
        <v>27</v>
      </c>
      <c r="H13" s="14"/>
      <c r="I13" s="14" t="s">
        <v>18</v>
      </c>
      <c r="J13" s="13" t="s">
        <v>56</v>
      </c>
      <c r="K13" s="4" t="s">
        <v>9</v>
      </c>
      <c r="L13" s="7" t="s">
        <v>3</v>
      </c>
      <c r="M13" s="7"/>
      <c r="N13" s="7"/>
      <c r="O13" s="14" t="s">
        <v>27</v>
      </c>
      <c r="P13" s="14" t="s">
        <v>27</v>
      </c>
      <c r="Q13" s="7"/>
      <c r="R13" s="7"/>
      <c r="S13" s="91" t="s">
        <v>207</v>
      </c>
      <c r="T13" s="5" t="s">
        <v>1</v>
      </c>
      <c r="U13" s="7" t="s">
        <v>4</v>
      </c>
      <c r="V13" s="5" t="s">
        <v>2</v>
      </c>
      <c r="W13" s="78"/>
      <c r="X13" s="78"/>
      <c r="Y13" s="13" t="s">
        <v>170</v>
      </c>
      <c r="Z13" s="78"/>
      <c r="AA13" s="78"/>
    </row>
    <row r="14" spans="2:27" ht="20.25" customHeight="1" x14ac:dyDescent="0.25">
      <c r="B14" s="12" t="s">
        <v>61</v>
      </c>
      <c r="C14" s="12" t="s">
        <v>58</v>
      </c>
      <c r="D14" s="12" t="s">
        <v>62</v>
      </c>
      <c r="E14" s="12" t="s">
        <v>58</v>
      </c>
      <c r="F14" s="12" t="s">
        <v>70</v>
      </c>
      <c r="G14" s="12" t="s">
        <v>59</v>
      </c>
      <c r="H14" s="14"/>
      <c r="I14" s="14" t="s">
        <v>27</v>
      </c>
      <c r="J14" s="13" t="s">
        <v>26</v>
      </c>
      <c r="K14" s="6" t="s">
        <v>10</v>
      </c>
      <c r="L14" s="7" t="s">
        <v>4</v>
      </c>
      <c r="M14" s="7"/>
      <c r="N14" s="7"/>
      <c r="O14" s="13" t="s">
        <v>52</v>
      </c>
      <c r="P14" s="7"/>
      <c r="Q14" s="7"/>
      <c r="R14" s="7"/>
      <c r="S14" s="14" t="s">
        <v>179</v>
      </c>
      <c r="T14" s="5" t="s">
        <v>2</v>
      </c>
      <c r="U14" s="14" t="s">
        <v>179</v>
      </c>
      <c r="V14" s="7" t="s">
        <v>3</v>
      </c>
      <c r="W14" s="78"/>
      <c r="X14" s="78"/>
      <c r="Y14" s="78"/>
      <c r="Z14" s="78"/>
      <c r="AA14" s="78"/>
    </row>
    <row r="15" spans="2:27" ht="20.25" customHeight="1" x14ac:dyDescent="0.25">
      <c r="B15" s="12" t="s">
        <v>60</v>
      </c>
      <c r="C15" s="7"/>
      <c r="D15" s="12" t="s">
        <v>61</v>
      </c>
      <c r="E15" s="7"/>
      <c r="F15" s="12" t="s">
        <v>59</v>
      </c>
      <c r="G15" s="15"/>
      <c r="H15" s="15"/>
      <c r="I15" s="12" t="s">
        <v>59</v>
      </c>
      <c r="J15" s="13" t="s">
        <v>21</v>
      </c>
      <c r="K15" s="4" t="s">
        <v>33</v>
      </c>
      <c r="L15" s="14" t="s">
        <v>13</v>
      </c>
      <c r="M15" s="5"/>
      <c r="N15" s="5"/>
      <c r="O15" s="16" t="s">
        <v>115</v>
      </c>
      <c r="P15" s="7"/>
      <c r="Q15" s="7"/>
      <c r="R15" s="7"/>
      <c r="S15" s="14" t="s">
        <v>180</v>
      </c>
      <c r="T15" s="7" t="s">
        <v>3</v>
      </c>
      <c r="U15" s="93" t="s">
        <v>212</v>
      </c>
      <c r="V15" s="7" t="s">
        <v>4</v>
      </c>
      <c r="W15" s="78"/>
      <c r="X15" s="78"/>
      <c r="Y15" s="14"/>
      <c r="Z15" s="78"/>
      <c r="AA15" s="78"/>
    </row>
    <row r="16" spans="2:27" ht="20.25" customHeight="1" x14ac:dyDescent="0.25">
      <c r="B16" s="12" t="s">
        <v>59</v>
      </c>
      <c r="C16" s="7"/>
      <c r="D16" s="12" t="s">
        <v>60</v>
      </c>
      <c r="E16" s="7"/>
      <c r="F16" s="7"/>
      <c r="G16" s="7"/>
      <c r="H16" s="15"/>
      <c r="I16" s="15"/>
      <c r="J16" s="14" t="s">
        <v>27</v>
      </c>
      <c r="K16" s="4" t="s">
        <v>108</v>
      </c>
      <c r="L16" s="17" t="s">
        <v>120</v>
      </c>
      <c r="M16" s="7"/>
      <c r="N16" s="7"/>
      <c r="O16" s="7"/>
      <c r="P16" s="7"/>
      <c r="Q16" s="7"/>
      <c r="R16" s="7"/>
      <c r="S16" s="14" t="s">
        <v>181</v>
      </c>
      <c r="T16" s="7" t="s">
        <v>4</v>
      </c>
      <c r="U16" s="78"/>
      <c r="V16" s="93" t="s">
        <v>209</v>
      </c>
      <c r="W16" s="78"/>
      <c r="X16" s="78"/>
      <c r="Y16" s="78"/>
      <c r="Z16" s="78"/>
      <c r="AA16" s="78"/>
    </row>
    <row r="17" spans="2:27" ht="20.25" customHeight="1" x14ac:dyDescent="0.25">
      <c r="B17" s="12" t="s">
        <v>58</v>
      </c>
      <c r="C17" s="7"/>
      <c r="D17" s="12" t="s">
        <v>58</v>
      </c>
      <c r="E17" s="7"/>
      <c r="F17" s="7"/>
      <c r="G17" s="7"/>
      <c r="H17" s="7"/>
      <c r="I17" s="7"/>
      <c r="J17" s="14" t="s">
        <v>102</v>
      </c>
      <c r="K17" s="4" t="s">
        <v>37</v>
      </c>
      <c r="L17" s="17" t="s">
        <v>122</v>
      </c>
      <c r="M17" s="7"/>
      <c r="N17" s="7"/>
      <c r="O17" s="7"/>
      <c r="P17" s="7"/>
      <c r="Q17" s="7"/>
      <c r="R17" s="7"/>
      <c r="S17" s="93" t="s">
        <v>204</v>
      </c>
      <c r="T17" s="6" t="s">
        <v>188</v>
      </c>
      <c r="U17" s="78"/>
      <c r="V17" s="93" t="s">
        <v>210</v>
      </c>
      <c r="W17" s="78"/>
      <c r="X17" s="78"/>
      <c r="Y17" s="78"/>
      <c r="Z17" s="78"/>
      <c r="AA17" s="78"/>
    </row>
    <row r="18" spans="2:27" ht="20.25" customHeight="1" x14ac:dyDescent="0.25">
      <c r="B18" s="12" t="s">
        <v>64</v>
      </c>
      <c r="C18" s="7"/>
      <c r="D18" s="7"/>
      <c r="E18" s="7"/>
      <c r="F18" s="7"/>
      <c r="G18" s="7"/>
      <c r="H18" s="7"/>
      <c r="I18" s="7"/>
      <c r="J18" s="13" t="s">
        <v>101</v>
      </c>
      <c r="K18" s="4" t="s">
        <v>38</v>
      </c>
      <c r="L18" s="17" t="s">
        <v>71</v>
      </c>
      <c r="M18" s="7"/>
      <c r="N18" s="7"/>
      <c r="O18" s="7"/>
      <c r="P18" s="7"/>
      <c r="Q18" s="7"/>
      <c r="R18" s="7"/>
      <c r="S18" s="93" t="s">
        <v>205</v>
      </c>
      <c r="T18" s="6" t="s">
        <v>189</v>
      </c>
      <c r="U18" s="78"/>
      <c r="V18" s="93" t="s">
        <v>201</v>
      </c>
      <c r="W18" s="78"/>
      <c r="X18" s="78"/>
      <c r="Y18" s="78"/>
      <c r="Z18" s="78"/>
      <c r="AA18" s="78"/>
    </row>
    <row r="19" spans="2:27" ht="20.25" customHeight="1" x14ac:dyDescent="0.25">
      <c r="B19" s="12" t="s">
        <v>65</v>
      </c>
      <c r="C19" s="7"/>
      <c r="D19" s="7"/>
      <c r="E19" s="7"/>
      <c r="F19" s="7"/>
      <c r="G19" s="7"/>
      <c r="H19" s="7"/>
      <c r="I19" s="7"/>
      <c r="J19" s="7"/>
      <c r="K19" s="4" t="s">
        <v>39</v>
      </c>
      <c r="L19" s="17" t="s">
        <v>121</v>
      </c>
      <c r="M19" s="7"/>
      <c r="N19" s="7"/>
      <c r="O19" s="7"/>
      <c r="P19" s="7"/>
      <c r="Q19" s="7"/>
      <c r="R19" s="7"/>
      <c r="S19" s="93" t="s">
        <v>206</v>
      </c>
      <c r="T19" s="6" t="s">
        <v>190</v>
      </c>
      <c r="U19" s="78"/>
      <c r="V19" s="93" t="s">
        <v>202</v>
      </c>
      <c r="W19" s="78"/>
      <c r="X19" s="78"/>
      <c r="Y19" s="78"/>
      <c r="Z19" s="78"/>
      <c r="AA19" s="78"/>
    </row>
    <row r="20" spans="2:27" ht="20.25" customHeight="1" x14ac:dyDescent="0.25">
      <c r="B20" s="12" t="s">
        <v>66</v>
      </c>
      <c r="C20" s="7"/>
      <c r="D20" s="7"/>
      <c r="E20" s="7"/>
      <c r="F20" s="7"/>
      <c r="G20" s="7"/>
      <c r="H20" s="7"/>
      <c r="I20" s="7"/>
      <c r="J20" s="7"/>
      <c r="K20" s="4" t="s">
        <v>40</v>
      </c>
      <c r="L20" s="17" t="s">
        <v>73</v>
      </c>
      <c r="M20" s="7"/>
      <c r="N20" s="7"/>
      <c r="O20" s="7"/>
      <c r="P20" s="7"/>
      <c r="Q20" s="7"/>
      <c r="R20" s="7"/>
      <c r="S20" s="78"/>
      <c r="T20" s="6" t="s">
        <v>191</v>
      </c>
      <c r="U20" s="78"/>
      <c r="V20" s="93" t="s">
        <v>203</v>
      </c>
      <c r="W20" s="78"/>
      <c r="X20" s="78"/>
      <c r="Y20" s="78"/>
      <c r="Z20" s="78"/>
      <c r="AA20" s="78"/>
    </row>
    <row r="21" spans="2:27" ht="20.25" customHeight="1" x14ac:dyDescent="0.25">
      <c r="B21" s="12" t="s">
        <v>67</v>
      </c>
      <c r="C21" s="7"/>
      <c r="D21" s="7"/>
      <c r="E21" s="7"/>
      <c r="F21" s="7"/>
      <c r="G21" s="7"/>
      <c r="H21" s="7"/>
      <c r="I21" s="7"/>
      <c r="J21" s="7"/>
      <c r="K21" s="4" t="s">
        <v>43</v>
      </c>
      <c r="L21" s="12" t="s">
        <v>74</v>
      </c>
      <c r="M21" s="7"/>
      <c r="N21" s="7"/>
      <c r="O21" s="7"/>
      <c r="P21" s="7"/>
      <c r="Q21" s="7"/>
      <c r="R21" s="7"/>
      <c r="S21" s="78"/>
      <c r="T21" s="13" t="s">
        <v>179</v>
      </c>
      <c r="U21" s="78"/>
      <c r="V21" s="93" t="s">
        <v>208</v>
      </c>
      <c r="W21" s="78"/>
      <c r="X21" s="78"/>
      <c r="Y21" s="78"/>
      <c r="Z21" s="78"/>
      <c r="AA21" s="78"/>
    </row>
    <row r="22" spans="2:27" ht="20.25" customHeight="1" x14ac:dyDescent="0.25">
      <c r="B22" s="7"/>
      <c r="C22" s="7"/>
      <c r="D22" s="7"/>
      <c r="E22" s="7"/>
      <c r="F22" s="7"/>
      <c r="G22" s="7"/>
      <c r="H22" s="7"/>
      <c r="I22" s="7"/>
      <c r="J22" s="7"/>
      <c r="K22" s="4" t="s">
        <v>42</v>
      </c>
      <c r="L22" s="12" t="s">
        <v>75</v>
      </c>
      <c r="M22" s="7"/>
      <c r="N22" s="7"/>
      <c r="O22" s="7"/>
      <c r="P22" s="7"/>
      <c r="Q22" s="7"/>
      <c r="R22" s="7"/>
      <c r="S22" s="78"/>
      <c r="T22" s="13" t="s">
        <v>193</v>
      </c>
      <c r="U22" s="78"/>
      <c r="V22" s="93" t="s">
        <v>204</v>
      </c>
      <c r="W22" s="78"/>
      <c r="X22" s="78"/>
      <c r="Y22" s="78"/>
      <c r="Z22" s="78"/>
      <c r="AA22" s="78"/>
    </row>
    <row r="23" spans="2:27" ht="20.25" customHeight="1" x14ac:dyDescent="0.25">
      <c r="B23" s="7"/>
      <c r="C23" s="7"/>
      <c r="D23" s="7"/>
      <c r="E23" s="7"/>
      <c r="F23" s="7"/>
      <c r="G23" s="7"/>
      <c r="H23" s="7"/>
      <c r="I23" s="7"/>
      <c r="J23" s="7"/>
      <c r="K23" s="4" t="s">
        <v>41</v>
      </c>
      <c r="L23" s="7"/>
      <c r="M23" s="7"/>
      <c r="N23" s="7"/>
      <c r="O23" s="7"/>
      <c r="P23" s="7"/>
      <c r="Q23" s="7"/>
      <c r="R23" s="7"/>
      <c r="S23" s="78"/>
      <c r="T23" s="13" t="s">
        <v>194</v>
      </c>
      <c r="U23" s="78"/>
      <c r="V23" s="93" t="s">
        <v>205</v>
      </c>
      <c r="W23" s="78"/>
      <c r="X23" s="78"/>
      <c r="Y23" s="78"/>
      <c r="Z23" s="78"/>
      <c r="AA23" s="78"/>
    </row>
    <row r="24" spans="2:27" ht="20.25" customHeight="1" x14ac:dyDescent="0.25">
      <c r="B24" s="7"/>
      <c r="C24" s="7"/>
      <c r="D24" s="7"/>
      <c r="E24" s="7"/>
      <c r="F24" s="7"/>
      <c r="G24" s="7"/>
      <c r="H24" s="7"/>
      <c r="I24" s="7"/>
      <c r="J24" s="7"/>
      <c r="K24" s="4"/>
      <c r="L24" s="7"/>
      <c r="M24" s="7"/>
      <c r="N24" s="7"/>
      <c r="O24" s="7"/>
      <c r="P24" s="7"/>
      <c r="Q24" s="7"/>
      <c r="R24" s="7"/>
      <c r="S24" s="78"/>
      <c r="T24" s="93" t="s">
        <v>206</v>
      </c>
      <c r="U24" s="78"/>
      <c r="V24" s="93" t="s">
        <v>67</v>
      </c>
      <c r="W24" s="78"/>
      <c r="X24" s="78"/>
      <c r="Y24" s="78"/>
      <c r="Z24" s="78"/>
      <c r="AA24" s="78"/>
    </row>
    <row r="25" spans="2:27" ht="20.25" customHeight="1" x14ac:dyDescent="0.25">
      <c r="B25" s="7"/>
      <c r="C25" s="7"/>
      <c r="D25" s="7"/>
      <c r="E25" s="7"/>
      <c r="F25" s="7"/>
      <c r="G25" s="7"/>
      <c r="H25" s="7"/>
      <c r="I25" s="7"/>
      <c r="J25" s="7"/>
      <c r="K25" s="4"/>
      <c r="L25" s="7"/>
      <c r="M25" s="7"/>
      <c r="N25" s="7"/>
      <c r="O25" s="7"/>
      <c r="P25" s="7"/>
      <c r="Q25" s="7"/>
      <c r="R25" s="7"/>
      <c r="S25" s="78"/>
      <c r="T25" s="97" t="s">
        <v>215</v>
      </c>
      <c r="U25" s="78"/>
      <c r="V25" s="93" t="s">
        <v>213</v>
      </c>
      <c r="W25" s="78"/>
      <c r="X25" s="78"/>
      <c r="Y25" s="78"/>
      <c r="Z25" s="78"/>
      <c r="AA25" s="78"/>
    </row>
    <row r="26" spans="2:27" ht="20.25" customHeight="1" x14ac:dyDescent="0.25">
      <c r="B26" s="7"/>
      <c r="C26" s="7"/>
      <c r="D26" s="7"/>
      <c r="E26" s="7"/>
      <c r="F26" s="7"/>
      <c r="G26" s="7"/>
      <c r="H26" s="7"/>
      <c r="I26" s="7"/>
      <c r="J26" s="7"/>
      <c r="K26" s="4"/>
      <c r="L26" s="7"/>
      <c r="M26" s="7"/>
      <c r="N26" s="7"/>
      <c r="O26" s="7"/>
      <c r="P26" s="7"/>
      <c r="Q26" s="7"/>
      <c r="R26" s="7"/>
      <c r="S26" s="92"/>
      <c r="T26" s="98" t="s">
        <v>214</v>
      </c>
      <c r="U26" s="92"/>
      <c r="V26" s="92"/>
      <c r="W26" s="92"/>
      <c r="X26" s="92"/>
      <c r="Y26" s="92"/>
      <c r="Z26" s="92"/>
      <c r="AA26" s="92"/>
    </row>
    <row r="27" spans="2:27" x14ac:dyDescent="0.25">
      <c r="B27" s="7"/>
      <c r="C27" s="7"/>
      <c r="D27" s="7"/>
      <c r="E27" s="7"/>
      <c r="F27" s="7"/>
      <c r="G27" s="7"/>
      <c r="H27" s="7"/>
      <c r="I27" s="7"/>
      <c r="J27" s="7"/>
      <c r="K27" s="4" t="s">
        <v>44</v>
      </c>
      <c r="L27" s="7"/>
      <c r="M27" s="7"/>
      <c r="N27" s="7"/>
      <c r="O27" s="7"/>
      <c r="P27" s="7"/>
      <c r="Q27" s="7"/>
      <c r="R27" s="7"/>
    </row>
    <row r="28" spans="2:27" x14ac:dyDescent="0.25">
      <c r="B28" s="7"/>
      <c r="C28" s="7"/>
      <c r="D28" s="7"/>
      <c r="E28" s="7"/>
      <c r="F28" s="7"/>
      <c r="G28" s="7"/>
      <c r="H28" s="7"/>
      <c r="I28" s="7"/>
      <c r="J28" s="7"/>
      <c r="K28" s="4" t="s">
        <v>34</v>
      </c>
      <c r="L28" s="7"/>
      <c r="M28" s="7"/>
      <c r="N28" s="7"/>
      <c r="O28" s="7"/>
      <c r="P28" s="7"/>
      <c r="Q28" s="7"/>
      <c r="R28" s="7"/>
    </row>
    <row r="29" spans="2:27" ht="30" x14ac:dyDescent="0.25">
      <c r="B29" s="7"/>
      <c r="C29" s="7"/>
      <c r="D29" s="7"/>
      <c r="E29" s="7"/>
      <c r="F29" s="7"/>
      <c r="G29" s="7"/>
      <c r="H29" s="7"/>
      <c r="I29" s="7"/>
      <c r="J29" s="7"/>
      <c r="K29" s="8" t="s">
        <v>93</v>
      </c>
      <c r="L29" s="7"/>
      <c r="M29" s="7"/>
      <c r="N29" s="7"/>
      <c r="O29" s="7"/>
      <c r="P29" s="7"/>
      <c r="Q29" s="7"/>
      <c r="R29" s="7"/>
    </row>
    <row r="30" spans="2:27" ht="45" x14ac:dyDescent="0.25">
      <c r="B30" s="7"/>
      <c r="C30" s="7"/>
      <c r="D30" s="7"/>
      <c r="E30" s="7"/>
      <c r="F30" s="7"/>
      <c r="G30" s="7"/>
      <c r="H30" s="7"/>
      <c r="I30" s="7"/>
      <c r="J30" s="7"/>
      <c r="K30" s="8" t="s">
        <v>168</v>
      </c>
      <c r="L30" s="7"/>
      <c r="M30" s="7"/>
      <c r="N30" s="7"/>
      <c r="O30" s="7"/>
      <c r="P30" s="7"/>
      <c r="Q30" s="7"/>
      <c r="R30" s="7"/>
    </row>
    <row r="31" spans="2:27" ht="30" x14ac:dyDescent="0.25">
      <c r="B31" s="7"/>
      <c r="C31" s="7"/>
      <c r="D31" s="7"/>
      <c r="E31" s="7"/>
      <c r="F31" s="7"/>
      <c r="G31" s="7"/>
      <c r="H31" s="7"/>
      <c r="I31" s="7"/>
      <c r="J31" s="7"/>
      <c r="K31" s="18" t="s">
        <v>166</v>
      </c>
      <c r="L31" s="7"/>
      <c r="M31" s="7"/>
      <c r="N31" s="7"/>
      <c r="O31" s="7"/>
      <c r="P31" s="7"/>
      <c r="Q31" s="7"/>
      <c r="R31" s="7"/>
    </row>
    <row r="32" spans="2:27" ht="75" x14ac:dyDescent="0.25">
      <c r="B32" s="7"/>
      <c r="C32" s="7"/>
      <c r="D32" s="7"/>
      <c r="E32" s="7"/>
      <c r="F32" s="7"/>
      <c r="G32" s="7"/>
      <c r="H32" s="7"/>
      <c r="I32" s="7"/>
      <c r="J32" s="7"/>
      <c r="K32" s="18" t="s">
        <v>167</v>
      </c>
      <c r="L32" s="7"/>
      <c r="M32" s="7"/>
      <c r="N32" s="7"/>
      <c r="O32" s="7"/>
      <c r="P32" s="7"/>
      <c r="Q32" s="7"/>
      <c r="R32" s="7"/>
    </row>
    <row r="33" spans="2:18" x14ac:dyDescent="0.25">
      <c r="B33" s="7"/>
      <c r="C33" s="7"/>
      <c r="D33" s="7"/>
      <c r="E33" s="7"/>
      <c r="F33" s="7"/>
      <c r="G33" s="7"/>
      <c r="H33" s="7"/>
      <c r="I33" s="7"/>
      <c r="J33" s="7"/>
      <c r="K33" s="7" t="s">
        <v>1</v>
      </c>
      <c r="L33" s="7"/>
      <c r="M33" s="7"/>
      <c r="N33" s="7"/>
      <c r="O33" s="7"/>
      <c r="P33" s="7"/>
      <c r="Q33" s="7"/>
      <c r="R33" s="7"/>
    </row>
    <row r="34" spans="2:18" x14ac:dyDescent="0.25">
      <c r="B34" s="7"/>
      <c r="C34" s="7"/>
      <c r="D34" s="7"/>
      <c r="E34" s="7"/>
      <c r="F34" s="7"/>
      <c r="G34" s="7"/>
      <c r="H34" s="7"/>
      <c r="I34" s="7"/>
      <c r="J34" s="7"/>
      <c r="K34" s="7" t="s">
        <v>2</v>
      </c>
      <c r="L34" s="7"/>
      <c r="M34" s="7"/>
      <c r="N34" s="7"/>
      <c r="O34" s="7"/>
      <c r="P34" s="7"/>
      <c r="Q34" s="7"/>
      <c r="R34" s="7"/>
    </row>
    <row r="35" spans="2:18" ht="30" x14ac:dyDescent="0.25">
      <c r="B35" s="7"/>
      <c r="C35" s="7"/>
      <c r="D35" s="7"/>
      <c r="E35" s="7"/>
      <c r="F35" s="7"/>
      <c r="G35" s="7"/>
      <c r="H35" s="7"/>
      <c r="I35" s="7"/>
      <c r="J35" s="7"/>
      <c r="K35" s="18" t="s">
        <v>104</v>
      </c>
      <c r="L35" s="7"/>
      <c r="M35" s="7"/>
      <c r="N35" s="7"/>
      <c r="O35" s="7"/>
      <c r="P35" s="7"/>
      <c r="Q35" s="7"/>
      <c r="R35" s="7"/>
    </row>
    <row r="36" spans="2:18" ht="30" x14ac:dyDescent="0.25">
      <c r="B36" s="7"/>
      <c r="C36" s="7"/>
      <c r="D36" s="7"/>
      <c r="E36" s="7"/>
      <c r="F36" s="7"/>
      <c r="G36" s="7"/>
      <c r="H36" s="7"/>
      <c r="I36" s="7"/>
      <c r="J36" s="7"/>
      <c r="K36" s="7" t="s">
        <v>103</v>
      </c>
      <c r="L36" s="7"/>
      <c r="M36" s="7"/>
      <c r="N36" s="7"/>
      <c r="O36" s="7"/>
      <c r="P36" s="7"/>
      <c r="Q36" s="7"/>
      <c r="R36" s="7"/>
    </row>
    <row r="37" spans="2:18" x14ac:dyDescent="0.25">
      <c r="B37" s="7"/>
      <c r="C37" s="7"/>
      <c r="D37" s="7"/>
      <c r="E37" s="7"/>
      <c r="F37" s="7"/>
      <c r="G37" s="7"/>
      <c r="H37" s="7"/>
      <c r="I37" s="7"/>
      <c r="J37" s="7"/>
      <c r="K37" s="7" t="s">
        <v>3</v>
      </c>
      <c r="L37" s="7"/>
      <c r="M37" s="7"/>
      <c r="N37" s="7"/>
      <c r="O37" s="7"/>
      <c r="P37" s="7"/>
      <c r="Q37" s="7"/>
      <c r="R37" s="7"/>
    </row>
    <row r="38" spans="2:18" ht="30" x14ac:dyDescent="0.25">
      <c r="B38" s="7"/>
      <c r="C38" s="7"/>
      <c r="D38" s="7"/>
      <c r="E38" s="7"/>
      <c r="F38" s="7"/>
      <c r="G38" s="7"/>
      <c r="H38" s="7"/>
      <c r="I38" s="7"/>
      <c r="J38" s="7"/>
      <c r="K38" s="7" t="s">
        <v>105</v>
      </c>
      <c r="L38" s="7"/>
      <c r="M38" s="7"/>
      <c r="N38" s="7"/>
      <c r="O38" s="7"/>
      <c r="P38" s="7"/>
      <c r="Q38" s="7"/>
      <c r="R38" s="7"/>
    </row>
    <row r="39" spans="2:18" x14ac:dyDescent="0.25">
      <c r="B39" s="7"/>
      <c r="C39" s="7"/>
      <c r="D39" s="7"/>
      <c r="E39" s="7"/>
      <c r="F39" s="7"/>
      <c r="G39" s="7"/>
      <c r="H39" s="7"/>
      <c r="I39" s="7"/>
      <c r="J39" s="7"/>
      <c r="K39" s="13" t="s">
        <v>27</v>
      </c>
      <c r="L39" s="7"/>
      <c r="M39" s="7"/>
      <c r="N39" s="7"/>
      <c r="O39" s="7"/>
      <c r="P39" s="7"/>
      <c r="Q39" s="7"/>
      <c r="R39" s="7"/>
    </row>
    <row r="40" spans="2:18" x14ac:dyDescent="0.25">
      <c r="B40" s="7"/>
      <c r="C40" s="7"/>
      <c r="D40" s="7"/>
      <c r="E40" s="7"/>
      <c r="F40" s="7"/>
      <c r="G40" s="7"/>
      <c r="H40" s="7"/>
      <c r="I40" s="7"/>
      <c r="J40" s="7"/>
      <c r="K40" s="13" t="s">
        <v>20</v>
      </c>
      <c r="L40" s="7"/>
      <c r="M40" s="7"/>
      <c r="N40" s="7"/>
      <c r="O40" s="7"/>
      <c r="P40" s="7"/>
      <c r="Q40" s="7"/>
      <c r="R40" s="7"/>
    </row>
    <row r="41" spans="2:18" x14ac:dyDescent="0.25">
      <c r="B41" s="7"/>
      <c r="C41" s="7"/>
      <c r="D41" s="7"/>
      <c r="E41" s="7"/>
      <c r="F41" s="7"/>
      <c r="G41" s="7"/>
      <c r="H41" s="7"/>
      <c r="I41" s="7"/>
      <c r="J41" s="7"/>
      <c r="K41" s="13" t="s">
        <v>18</v>
      </c>
      <c r="L41" s="7"/>
      <c r="M41" s="7"/>
      <c r="N41" s="7"/>
      <c r="O41" s="7"/>
      <c r="P41" s="7"/>
      <c r="Q41" s="7"/>
      <c r="R41" s="7"/>
    </row>
    <row r="42" spans="2:18" x14ac:dyDescent="0.25">
      <c r="B42" s="7"/>
      <c r="C42" s="7"/>
      <c r="D42" s="7"/>
      <c r="E42" s="7"/>
      <c r="F42" s="7"/>
      <c r="G42" s="7"/>
      <c r="H42" s="7"/>
      <c r="I42" s="7"/>
      <c r="J42" s="7"/>
      <c r="K42" s="13" t="s">
        <v>35</v>
      </c>
      <c r="L42" s="7"/>
      <c r="M42" s="7"/>
      <c r="N42" s="7"/>
      <c r="O42" s="7"/>
      <c r="P42" s="7"/>
      <c r="Q42" s="7"/>
      <c r="R42" s="7"/>
    </row>
    <row r="43" spans="2:18" x14ac:dyDescent="0.25">
      <c r="B43" s="7"/>
      <c r="C43" s="7"/>
      <c r="D43" s="7"/>
      <c r="E43" s="7"/>
      <c r="F43" s="7"/>
      <c r="G43" s="7"/>
      <c r="H43" s="7"/>
      <c r="I43" s="7"/>
      <c r="J43" s="7"/>
      <c r="K43" s="13" t="s">
        <v>11</v>
      </c>
      <c r="L43" s="7"/>
      <c r="M43" s="7"/>
      <c r="N43" s="7"/>
      <c r="O43" s="7"/>
      <c r="P43" s="7"/>
      <c r="Q43" s="7"/>
      <c r="R43" s="7"/>
    </row>
    <row r="44" spans="2:18" ht="45" x14ac:dyDescent="0.25">
      <c r="B44" s="7"/>
      <c r="C44" s="7"/>
      <c r="D44" s="7"/>
      <c r="E44" s="7"/>
      <c r="F44" s="7"/>
      <c r="G44" s="7"/>
      <c r="H44" s="7"/>
      <c r="I44" s="7"/>
      <c r="J44" s="7"/>
      <c r="K44" s="13" t="s">
        <v>119</v>
      </c>
      <c r="L44" s="7"/>
      <c r="M44" s="7"/>
      <c r="N44" s="7"/>
      <c r="O44" s="7"/>
      <c r="P44" s="7"/>
      <c r="Q44" s="7"/>
      <c r="R44" s="7"/>
    </row>
    <row r="45" spans="2:18" ht="45" x14ac:dyDescent="0.25">
      <c r="B45" s="7"/>
      <c r="C45" s="7"/>
      <c r="D45" s="7"/>
      <c r="E45" s="7"/>
      <c r="F45" s="7"/>
      <c r="G45" s="7"/>
      <c r="H45" s="7"/>
      <c r="I45" s="7"/>
      <c r="J45" s="7"/>
      <c r="K45" s="13" t="s">
        <v>118</v>
      </c>
      <c r="L45" s="7"/>
      <c r="M45" s="7"/>
      <c r="N45" s="7"/>
      <c r="O45" s="7"/>
      <c r="P45" s="7"/>
      <c r="Q45" s="7"/>
      <c r="R45" s="7"/>
    </row>
    <row r="46" spans="2:18" x14ac:dyDescent="0.25">
      <c r="B46" s="78"/>
      <c r="C46" s="78"/>
      <c r="D46" s="78"/>
      <c r="E46" s="78"/>
      <c r="F46" s="78"/>
      <c r="G46" s="78"/>
      <c r="H46" s="78"/>
      <c r="I46" s="78"/>
      <c r="J46" s="78"/>
      <c r="K46" s="12" t="s">
        <v>59</v>
      </c>
      <c r="L46" s="78"/>
      <c r="M46" s="78"/>
      <c r="N46" s="78"/>
      <c r="O46" s="78"/>
      <c r="P46" s="78"/>
      <c r="Q46" s="78"/>
      <c r="R46" s="7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9"/>
  <sheetViews>
    <sheetView zoomScale="82" zoomScaleNormal="82" zoomScaleSheetLayoutView="80" workbookViewId="0">
      <pane xSplit="2" ySplit="5" topLeftCell="BJ6" activePane="bottomRight" state="frozen"/>
      <selection pane="topRight" activeCell="C1" sqref="C1"/>
      <selection pane="bottomLeft" activeCell="A6" sqref="A6"/>
      <selection pane="bottomRight" activeCell="BI10" sqref="BI10"/>
    </sheetView>
  </sheetViews>
  <sheetFormatPr baseColWidth="10" defaultRowHeight="15.75" x14ac:dyDescent="0.25"/>
  <cols>
    <col min="1" max="1" width="9.85546875" style="20" customWidth="1"/>
    <col min="2" max="2" width="72.28515625" style="21" customWidth="1"/>
    <col min="3" max="26" width="10.7109375" style="19" hidden="1" customWidth="1"/>
    <col min="27" max="94" width="10.7109375" style="19" customWidth="1"/>
  </cols>
  <sheetData>
    <row r="1" spans="1:94" ht="29.45" customHeight="1" x14ac:dyDescent="0.25">
      <c r="A1" s="81" t="s">
        <v>156</v>
      </c>
      <c r="B1" s="81"/>
    </row>
    <row r="2" spans="1:94" ht="16.5" thickBot="1" x14ac:dyDescent="0.3"/>
    <row r="3" spans="1:94" ht="46.15" customHeight="1" thickBot="1" x14ac:dyDescent="0.3">
      <c r="A3" s="82" t="s">
        <v>131</v>
      </c>
      <c r="B3" s="85" t="s">
        <v>132</v>
      </c>
      <c r="C3" s="22">
        <v>43952</v>
      </c>
      <c r="D3" s="23">
        <v>43953</v>
      </c>
      <c r="E3" s="24">
        <v>43954</v>
      </c>
      <c r="F3" s="24">
        <v>43955</v>
      </c>
      <c r="G3" s="24">
        <v>43956</v>
      </c>
      <c r="H3" s="24">
        <v>43957</v>
      </c>
      <c r="I3" s="24">
        <v>43958</v>
      </c>
      <c r="J3" s="24">
        <v>43959</v>
      </c>
      <c r="K3" s="24">
        <v>43960</v>
      </c>
      <c r="L3" s="24">
        <v>43961</v>
      </c>
      <c r="M3" s="24">
        <v>43962</v>
      </c>
      <c r="N3" s="24">
        <v>43963</v>
      </c>
      <c r="O3" s="24">
        <v>43964</v>
      </c>
      <c r="P3" s="24">
        <v>43965</v>
      </c>
      <c r="Q3" s="24">
        <v>43966</v>
      </c>
      <c r="R3" s="24">
        <v>43967</v>
      </c>
      <c r="S3" s="24">
        <v>43968</v>
      </c>
      <c r="T3" s="24">
        <v>43969</v>
      </c>
      <c r="U3" s="24">
        <v>43970</v>
      </c>
      <c r="V3" s="24">
        <v>43971</v>
      </c>
      <c r="W3" s="24">
        <v>43972</v>
      </c>
      <c r="X3" s="24">
        <v>43973</v>
      </c>
      <c r="Y3" s="24">
        <v>43974</v>
      </c>
      <c r="Z3" s="24">
        <v>43975</v>
      </c>
      <c r="AA3" s="24">
        <v>43976</v>
      </c>
      <c r="AB3" s="24">
        <v>43977</v>
      </c>
      <c r="AC3" s="24">
        <v>43978</v>
      </c>
      <c r="AD3" s="24">
        <v>43979</v>
      </c>
      <c r="AE3" s="24">
        <v>43980</v>
      </c>
      <c r="AF3" s="24">
        <v>43981</v>
      </c>
      <c r="AG3" s="25">
        <v>43982</v>
      </c>
      <c r="AH3" s="22">
        <v>43983</v>
      </c>
      <c r="AI3" s="24">
        <v>43984</v>
      </c>
      <c r="AJ3" s="24">
        <v>43985</v>
      </c>
      <c r="AK3" s="24">
        <v>43986</v>
      </c>
      <c r="AL3" s="24">
        <v>43987</v>
      </c>
      <c r="AM3" s="24">
        <v>43988</v>
      </c>
      <c r="AN3" s="24">
        <v>43989</v>
      </c>
      <c r="AO3" s="24">
        <v>43990</v>
      </c>
      <c r="AP3" s="24">
        <v>43991</v>
      </c>
      <c r="AQ3" s="24">
        <v>43992</v>
      </c>
      <c r="AR3" s="24">
        <v>43993</v>
      </c>
      <c r="AS3" s="24">
        <v>43994</v>
      </c>
      <c r="AT3" s="24">
        <v>43995</v>
      </c>
      <c r="AU3" s="24">
        <v>43996</v>
      </c>
      <c r="AV3" s="24">
        <v>43997</v>
      </c>
      <c r="AW3" s="24">
        <v>43998</v>
      </c>
      <c r="AX3" s="24">
        <v>43999</v>
      </c>
      <c r="AY3" s="24">
        <v>44000</v>
      </c>
      <c r="AZ3" s="24">
        <v>44001</v>
      </c>
      <c r="BA3" s="24">
        <v>44002</v>
      </c>
      <c r="BB3" s="24">
        <v>44003</v>
      </c>
      <c r="BC3" s="24">
        <v>44004</v>
      </c>
      <c r="BD3" s="24">
        <v>44005</v>
      </c>
      <c r="BE3" s="24">
        <v>44006</v>
      </c>
      <c r="BF3" s="24">
        <v>44007</v>
      </c>
      <c r="BG3" s="24">
        <v>44008</v>
      </c>
      <c r="BH3" s="24">
        <v>44009</v>
      </c>
      <c r="BI3" s="24">
        <v>44010</v>
      </c>
      <c r="BJ3" s="24">
        <v>44011</v>
      </c>
      <c r="BK3" s="25">
        <v>44012</v>
      </c>
      <c r="BL3" s="22">
        <v>44013</v>
      </c>
      <c r="BM3" s="24">
        <v>44014</v>
      </c>
      <c r="BN3" s="24">
        <v>44015</v>
      </c>
      <c r="BO3" s="24">
        <v>44016</v>
      </c>
      <c r="BP3" s="24">
        <v>44017</v>
      </c>
      <c r="BQ3" s="24">
        <v>44018</v>
      </c>
      <c r="BR3" s="24">
        <v>44019</v>
      </c>
      <c r="BS3" s="24">
        <v>44020</v>
      </c>
      <c r="BT3" s="24">
        <v>44021</v>
      </c>
      <c r="BU3" s="24">
        <v>44022</v>
      </c>
      <c r="BV3" s="24">
        <v>44023</v>
      </c>
      <c r="BW3" s="24">
        <v>44024</v>
      </c>
      <c r="BX3" s="24">
        <v>44025</v>
      </c>
      <c r="BY3" s="24">
        <v>44026</v>
      </c>
      <c r="BZ3" s="24">
        <v>44027</v>
      </c>
      <c r="CA3" s="24">
        <v>44028</v>
      </c>
      <c r="CB3" s="24">
        <v>44029</v>
      </c>
      <c r="CC3" s="24">
        <v>44030</v>
      </c>
      <c r="CD3" s="24">
        <v>44031</v>
      </c>
      <c r="CE3" s="24">
        <v>44032</v>
      </c>
      <c r="CF3" s="24">
        <v>44033</v>
      </c>
      <c r="CG3" s="24">
        <v>44034</v>
      </c>
      <c r="CH3" s="24">
        <v>44035</v>
      </c>
      <c r="CI3" s="24">
        <v>44036</v>
      </c>
      <c r="CJ3" s="24">
        <v>44037</v>
      </c>
      <c r="CK3" s="24">
        <v>44038</v>
      </c>
      <c r="CL3" s="24">
        <v>44039</v>
      </c>
      <c r="CM3" s="24">
        <v>44040</v>
      </c>
      <c r="CN3" s="24">
        <v>44041</v>
      </c>
      <c r="CO3" s="24">
        <v>44042</v>
      </c>
      <c r="CP3" s="25">
        <v>44043</v>
      </c>
    </row>
    <row r="4" spans="1:94" ht="14.45" customHeight="1" thickBot="1" x14ac:dyDescent="0.3">
      <c r="A4" s="83"/>
      <c r="B4" s="86"/>
      <c r="C4" s="26" t="str">
        <f t="shared" ref="C4:BN4" si="0">CHOOSE(WEEKDAY(C3),"D","L","M","M","J","V","S",)</f>
        <v>V</v>
      </c>
      <c r="D4" s="26" t="str">
        <f t="shared" si="0"/>
        <v>S</v>
      </c>
      <c r="E4" s="26" t="str">
        <f t="shared" si="0"/>
        <v>D</v>
      </c>
      <c r="F4" s="26" t="str">
        <f t="shared" si="0"/>
        <v>L</v>
      </c>
      <c r="G4" s="26" t="str">
        <f t="shared" si="0"/>
        <v>M</v>
      </c>
      <c r="H4" s="26" t="str">
        <f t="shared" si="0"/>
        <v>M</v>
      </c>
      <c r="I4" s="26" t="str">
        <f t="shared" si="0"/>
        <v>J</v>
      </c>
      <c r="J4" s="26" t="str">
        <f t="shared" si="0"/>
        <v>V</v>
      </c>
      <c r="K4" s="26" t="str">
        <f t="shared" si="0"/>
        <v>S</v>
      </c>
      <c r="L4" s="26" t="str">
        <f t="shared" si="0"/>
        <v>D</v>
      </c>
      <c r="M4" s="26" t="str">
        <f t="shared" si="0"/>
        <v>L</v>
      </c>
      <c r="N4" s="26" t="str">
        <f t="shared" si="0"/>
        <v>M</v>
      </c>
      <c r="O4" s="26" t="str">
        <f t="shared" si="0"/>
        <v>M</v>
      </c>
      <c r="P4" s="26" t="str">
        <f t="shared" si="0"/>
        <v>J</v>
      </c>
      <c r="Q4" s="26" t="str">
        <f t="shared" si="0"/>
        <v>V</v>
      </c>
      <c r="R4" s="26" t="str">
        <f t="shared" si="0"/>
        <v>S</v>
      </c>
      <c r="S4" s="26" t="str">
        <f t="shared" si="0"/>
        <v>D</v>
      </c>
      <c r="T4" s="26" t="str">
        <f t="shared" si="0"/>
        <v>L</v>
      </c>
      <c r="U4" s="26" t="str">
        <f t="shared" si="0"/>
        <v>M</v>
      </c>
      <c r="V4" s="26" t="str">
        <f t="shared" si="0"/>
        <v>M</v>
      </c>
      <c r="W4" s="26" t="str">
        <f t="shared" si="0"/>
        <v>J</v>
      </c>
      <c r="X4" s="26" t="str">
        <f t="shared" si="0"/>
        <v>V</v>
      </c>
      <c r="Y4" s="26" t="str">
        <f t="shared" si="0"/>
        <v>S</v>
      </c>
      <c r="Z4" s="26" t="str">
        <f t="shared" si="0"/>
        <v>D</v>
      </c>
      <c r="AA4" s="26" t="str">
        <f t="shared" si="0"/>
        <v>L</v>
      </c>
      <c r="AB4" s="26" t="str">
        <f t="shared" si="0"/>
        <v>M</v>
      </c>
      <c r="AC4" s="26" t="str">
        <f t="shared" si="0"/>
        <v>M</v>
      </c>
      <c r="AD4" s="26" t="str">
        <f t="shared" si="0"/>
        <v>J</v>
      </c>
      <c r="AE4" s="26" t="str">
        <f t="shared" si="0"/>
        <v>V</v>
      </c>
      <c r="AF4" s="26" t="str">
        <f t="shared" si="0"/>
        <v>S</v>
      </c>
      <c r="AG4" s="26" t="str">
        <f t="shared" si="0"/>
        <v>D</v>
      </c>
      <c r="AH4" s="26" t="str">
        <f t="shared" si="0"/>
        <v>L</v>
      </c>
      <c r="AI4" s="26" t="str">
        <f t="shared" si="0"/>
        <v>M</v>
      </c>
      <c r="AJ4" s="26" t="str">
        <f t="shared" si="0"/>
        <v>M</v>
      </c>
      <c r="AK4" s="26" t="str">
        <f t="shared" si="0"/>
        <v>J</v>
      </c>
      <c r="AL4" s="26" t="str">
        <f t="shared" si="0"/>
        <v>V</v>
      </c>
      <c r="AM4" s="26" t="str">
        <f t="shared" si="0"/>
        <v>S</v>
      </c>
      <c r="AN4" s="26" t="str">
        <f t="shared" si="0"/>
        <v>D</v>
      </c>
      <c r="AO4" s="26" t="str">
        <f t="shared" si="0"/>
        <v>L</v>
      </c>
      <c r="AP4" s="26" t="str">
        <f t="shared" si="0"/>
        <v>M</v>
      </c>
      <c r="AQ4" s="26" t="str">
        <f t="shared" si="0"/>
        <v>M</v>
      </c>
      <c r="AR4" s="26" t="str">
        <f t="shared" si="0"/>
        <v>J</v>
      </c>
      <c r="AS4" s="26" t="str">
        <f t="shared" si="0"/>
        <v>V</v>
      </c>
      <c r="AT4" s="26" t="str">
        <f t="shared" si="0"/>
        <v>S</v>
      </c>
      <c r="AU4" s="26" t="str">
        <f t="shared" si="0"/>
        <v>D</v>
      </c>
      <c r="AV4" s="26" t="str">
        <f t="shared" si="0"/>
        <v>L</v>
      </c>
      <c r="AW4" s="26" t="str">
        <f t="shared" si="0"/>
        <v>M</v>
      </c>
      <c r="AX4" s="26" t="str">
        <f t="shared" si="0"/>
        <v>M</v>
      </c>
      <c r="AY4" s="26" t="str">
        <f t="shared" si="0"/>
        <v>J</v>
      </c>
      <c r="AZ4" s="26" t="str">
        <f t="shared" si="0"/>
        <v>V</v>
      </c>
      <c r="BA4" s="26" t="str">
        <f t="shared" si="0"/>
        <v>S</v>
      </c>
      <c r="BB4" s="26" t="str">
        <f t="shared" si="0"/>
        <v>D</v>
      </c>
      <c r="BC4" s="26" t="str">
        <f t="shared" si="0"/>
        <v>L</v>
      </c>
      <c r="BD4" s="26" t="str">
        <f t="shared" si="0"/>
        <v>M</v>
      </c>
      <c r="BE4" s="26" t="str">
        <f t="shared" si="0"/>
        <v>M</v>
      </c>
      <c r="BF4" s="26" t="str">
        <f t="shared" si="0"/>
        <v>J</v>
      </c>
      <c r="BG4" s="26" t="str">
        <f t="shared" si="0"/>
        <v>V</v>
      </c>
      <c r="BH4" s="26" t="str">
        <f t="shared" si="0"/>
        <v>S</v>
      </c>
      <c r="BI4" s="26" t="str">
        <f t="shared" si="0"/>
        <v>D</v>
      </c>
      <c r="BJ4" s="26" t="str">
        <f t="shared" si="0"/>
        <v>L</v>
      </c>
      <c r="BK4" s="26" t="str">
        <f t="shared" si="0"/>
        <v>M</v>
      </c>
      <c r="BL4" s="26" t="str">
        <f t="shared" si="0"/>
        <v>M</v>
      </c>
      <c r="BM4" s="26" t="str">
        <f t="shared" si="0"/>
        <v>J</v>
      </c>
      <c r="BN4" s="26" t="str">
        <f t="shared" si="0"/>
        <v>V</v>
      </c>
      <c r="BO4" s="26" t="str">
        <f t="shared" ref="BO4:CP4" si="1">CHOOSE(WEEKDAY(BO3),"D","L","M","M","J","V","S",)</f>
        <v>S</v>
      </c>
      <c r="BP4" s="26" t="str">
        <f t="shared" si="1"/>
        <v>D</v>
      </c>
      <c r="BQ4" s="26" t="str">
        <f t="shared" si="1"/>
        <v>L</v>
      </c>
      <c r="BR4" s="26" t="str">
        <f t="shared" si="1"/>
        <v>M</v>
      </c>
      <c r="BS4" s="26" t="str">
        <f t="shared" si="1"/>
        <v>M</v>
      </c>
      <c r="BT4" s="26" t="str">
        <f t="shared" si="1"/>
        <v>J</v>
      </c>
      <c r="BU4" s="26" t="str">
        <f t="shared" si="1"/>
        <v>V</v>
      </c>
      <c r="BV4" s="26" t="str">
        <f t="shared" si="1"/>
        <v>S</v>
      </c>
      <c r="BW4" s="26" t="str">
        <f t="shared" si="1"/>
        <v>D</v>
      </c>
      <c r="BX4" s="26" t="str">
        <f t="shared" si="1"/>
        <v>L</v>
      </c>
      <c r="BY4" s="26" t="str">
        <f t="shared" si="1"/>
        <v>M</v>
      </c>
      <c r="BZ4" s="26" t="str">
        <f t="shared" si="1"/>
        <v>M</v>
      </c>
      <c r="CA4" s="26" t="str">
        <f t="shared" si="1"/>
        <v>J</v>
      </c>
      <c r="CB4" s="26" t="str">
        <f t="shared" si="1"/>
        <v>V</v>
      </c>
      <c r="CC4" s="26" t="str">
        <f t="shared" si="1"/>
        <v>S</v>
      </c>
      <c r="CD4" s="26" t="str">
        <f t="shared" si="1"/>
        <v>D</v>
      </c>
      <c r="CE4" s="26" t="str">
        <f t="shared" si="1"/>
        <v>L</v>
      </c>
      <c r="CF4" s="26" t="str">
        <f t="shared" si="1"/>
        <v>M</v>
      </c>
      <c r="CG4" s="26" t="str">
        <f t="shared" si="1"/>
        <v>M</v>
      </c>
      <c r="CH4" s="26" t="str">
        <f t="shared" si="1"/>
        <v>J</v>
      </c>
      <c r="CI4" s="26" t="str">
        <f t="shared" si="1"/>
        <v>V</v>
      </c>
      <c r="CJ4" s="26" t="str">
        <f t="shared" si="1"/>
        <v>S</v>
      </c>
      <c r="CK4" s="26" t="str">
        <f t="shared" si="1"/>
        <v>D</v>
      </c>
      <c r="CL4" s="26" t="str">
        <f t="shared" si="1"/>
        <v>L</v>
      </c>
      <c r="CM4" s="26" t="str">
        <f t="shared" si="1"/>
        <v>M</v>
      </c>
      <c r="CN4" s="26" t="str">
        <f t="shared" si="1"/>
        <v>M</v>
      </c>
      <c r="CO4" s="26" t="str">
        <f t="shared" si="1"/>
        <v>J</v>
      </c>
      <c r="CP4" s="26" t="str">
        <f t="shared" si="1"/>
        <v>V</v>
      </c>
    </row>
    <row r="5" spans="1:94" ht="16.5" thickBot="1" x14ac:dyDescent="0.3">
      <c r="A5" s="84"/>
      <c r="B5" s="87"/>
      <c r="C5" s="27">
        <f t="shared" ref="C5:BN5" si="2">DAY(C3)</f>
        <v>1</v>
      </c>
      <c r="D5" s="28">
        <f t="shared" si="2"/>
        <v>2</v>
      </c>
      <c r="E5" s="28">
        <f t="shared" si="2"/>
        <v>3</v>
      </c>
      <c r="F5" s="28">
        <f t="shared" si="2"/>
        <v>4</v>
      </c>
      <c r="G5" s="28">
        <f t="shared" si="2"/>
        <v>5</v>
      </c>
      <c r="H5" s="28">
        <f t="shared" si="2"/>
        <v>6</v>
      </c>
      <c r="I5" s="28">
        <f t="shared" si="2"/>
        <v>7</v>
      </c>
      <c r="J5" s="28">
        <f t="shared" si="2"/>
        <v>8</v>
      </c>
      <c r="K5" s="28">
        <f t="shared" si="2"/>
        <v>9</v>
      </c>
      <c r="L5" s="28">
        <f t="shared" si="2"/>
        <v>10</v>
      </c>
      <c r="M5" s="28">
        <f t="shared" si="2"/>
        <v>11</v>
      </c>
      <c r="N5" s="28">
        <f t="shared" si="2"/>
        <v>12</v>
      </c>
      <c r="O5" s="28">
        <f t="shared" si="2"/>
        <v>13</v>
      </c>
      <c r="P5" s="28">
        <f t="shared" si="2"/>
        <v>14</v>
      </c>
      <c r="Q5" s="28">
        <f t="shared" si="2"/>
        <v>15</v>
      </c>
      <c r="R5" s="28">
        <f t="shared" si="2"/>
        <v>16</v>
      </c>
      <c r="S5" s="28">
        <f t="shared" si="2"/>
        <v>17</v>
      </c>
      <c r="T5" s="28">
        <f t="shared" si="2"/>
        <v>18</v>
      </c>
      <c r="U5" s="28">
        <f t="shared" si="2"/>
        <v>19</v>
      </c>
      <c r="V5" s="28">
        <f t="shared" si="2"/>
        <v>20</v>
      </c>
      <c r="W5" s="28">
        <f t="shared" si="2"/>
        <v>21</v>
      </c>
      <c r="X5" s="28">
        <f t="shared" si="2"/>
        <v>22</v>
      </c>
      <c r="Y5" s="28">
        <f t="shared" si="2"/>
        <v>23</v>
      </c>
      <c r="Z5" s="28">
        <f t="shared" si="2"/>
        <v>24</v>
      </c>
      <c r="AA5" s="28">
        <f t="shared" si="2"/>
        <v>25</v>
      </c>
      <c r="AB5" s="28">
        <f t="shared" si="2"/>
        <v>26</v>
      </c>
      <c r="AC5" s="28">
        <f t="shared" si="2"/>
        <v>27</v>
      </c>
      <c r="AD5" s="28">
        <f t="shared" si="2"/>
        <v>28</v>
      </c>
      <c r="AE5" s="28">
        <f t="shared" si="2"/>
        <v>29</v>
      </c>
      <c r="AF5" s="28">
        <f t="shared" si="2"/>
        <v>30</v>
      </c>
      <c r="AG5" s="29">
        <f t="shared" si="2"/>
        <v>31</v>
      </c>
      <c r="AH5" s="27">
        <f t="shared" si="2"/>
        <v>1</v>
      </c>
      <c r="AI5" s="28">
        <f t="shared" si="2"/>
        <v>2</v>
      </c>
      <c r="AJ5" s="28">
        <f t="shared" si="2"/>
        <v>3</v>
      </c>
      <c r="AK5" s="28">
        <f t="shared" si="2"/>
        <v>4</v>
      </c>
      <c r="AL5" s="28">
        <f t="shared" si="2"/>
        <v>5</v>
      </c>
      <c r="AM5" s="28">
        <f t="shared" si="2"/>
        <v>6</v>
      </c>
      <c r="AN5" s="28">
        <f t="shared" si="2"/>
        <v>7</v>
      </c>
      <c r="AO5" s="28">
        <f t="shared" si="2"/>
        <v>8</v>
      </c>
      <c r="AP5" s="28">
        <f t="shared" si="2"/>
        <v>9</v>
      </c>
      <c r="AQ5" s="28">
        <f t="shared" si="2"/>
        <v>10</v>
      </c>
      <c r="AR5" s="28">
        <f t="shared" si="2"/>
        <v>11</v>
      </c>
      <c r="AS5" s="28">
        <f t="shared" si="2"/>
        <v>12</v>
      </c>
      <c r="AT5" s="28">
        <f t="shared" si="2"/>
        <v>13</v>
      </c>
      <c r="AU5" s="28">
        <f t="shared" si="2"/>
        <v>14</v>
      </c>
      <c r="AV5" s="28">
        <f t="shared" si="2"/>
        <v>15</v>
      </c>
      <c r="AW5" s="28">
        <f t="shared" si="2"/>
        <v>16</v>
      </c>
      <c r="AX5" s="28">
        <f t="shared" si="2"/>
        <v>17</v>
      </c>
      <c r="AY5" s="28">
        <f t="shared" si="2"/>
        <v>18</v>
      </c>
      <c r="AZ5" s="28">
        <f t="shared" si="2"/>
        <v>19</v>
      </c>
      <c r="BA5" s="28">
        <f t="shared" si="2"/>
        <v>20</v>
      </c>
      <c r="BB5" s="28">
        <f t="shared" si="2"/>
        <v>21</v>
      </c>
      <c r="BC5" s="28">
        <f t="shared" si="2"/>
        <v>22</v>
      </c>
      <c r="BD5" s="28">
        <f t="shared" si="2"/>
        <v>23</v>
      </c>
      <c r="BE5" s="28">
        <f t="shared" si="2"/>
        <v>24</v>
      </c>
      <c r="BF5" s="28">
        <f t="shared" si="2"/>
        <v>25</v>
      </c>
      <c r="BG5" s="28">
        <f t="shared" si="2"/>
        <v>26</v>
      </c>
      <c r="BH5" s="28">
        <f t="shared" si="2"/>
        <v>27</v>
      </c>
      <c r="BI5" s="28">
        <f t="shared" si="2"/>
        <v>28</v>
      </c>
      <c r="BJ5" s="28">
        <f t="shared" si="2"/>
        <v>29</v>
      </c>
      <c r="BK5" s="29">
        <f t="shared" si="2"/>
        <v>30</v>
      </c>
      <c r="BL5" s="27">
        <f t="shared" si="2"/>
        <v>1</v>
      </c>
      <c r="BM5" s="28">
        <f t="shared" si="2"/>
        <v>2</v>
      </c>
      <c r="BN5" s="28">
        <f t="shared" si="2"/>
        <v>3</v>
      </c>
      <c r="BO5" s="28">
        <f t="shared" ref="BO5:CP5" si="3">DAY(BO3)</f>
        <v>4</v>
      </c>
      <c r="BP5" s="28">
        <f t="shared" si="3"/>
        <v>5</v>
      </c>
      <c r="BQ5" s="28">
        <f t="shared" si="3"/>
        <v>6</v>
      </c>
      <c r="BR5" s="28">
        <f t="shared" si="3"/>
        <v>7</v>
      </c>
      <c r="BS5" s="28">
        <f t="shared" si="3"/>
        <v>8</v>
      </c>
      <c r="BT5" s="28">
        <f t="shared" si="3"/>
        <v>9</v>
      </c>
      <c r="BU5" s="28">
        <f t="shared" si="3"/>
        <v>10</v>
      </c>
      <c r="BV5" s="28">
        <f t="shared" si="3"/>
        <v>11</v>
      </c>
      <c r="BW5" s="28">
        <f t="shared" si="3"/>
        <v>12</v>
      </c>
      <c r="BX5" s="28">
        <f t="shared" si="3"/>
        <v>13</v>
      </c>
      <c r="BY5" s="28">
        <f t="shared" si="3"/>
        <v>14</v>
      </c>
      <c r="BZ5" s="28">
        <f t="shared" si="3"/>
        <v>15</v>
      </c>
      <c r="CA5" s="28">
        <f t="shared" si="3"/>
        <v>16</v>
      </c>
      <c r="CB5" s="28">
        <f t="shared" si="3"/>
        <v>17</v>
      </c>
      <c r="CC5" s="28">
        <f t="shared" si="3"/>
        <v>18</v>
      </c>
      <c r="CD5" s="28">
        <f t="shared" si="3"/>
        <v>19</v>
      </c>
      <c r="CE5" s="28">
        <f t="shared" si="3"/>
        <v>20</v>
      </c>
      <c r="CF5" s="28">
        <f t="shared" si="3"/>
        <v>21</v>
      </c>
      <c r="CG5" s="28">
        <f t="shared" si="3"/>
        <v>22</v>
      </c>
      <c r="CH5" s="28">
        <f t="shared" si="3"/>
        <v>23</v>
      </c>
      <c r="CI5" s="28">
        <f t="shared" si="3"/>
        <v>24</v>
      </c>
      <c r="CJ5" s="28">
        <f t="shared" si="3"/>
        <v>25</v>
      </c>
      <c r="CK5" s="28">
        <f t="shared" si="3"/>
        <v>26</v>
      </c>
      <c r="CL5" s="28">
        <f t="shared" si="3"/>
        <v>27</v>
      </c>
      <c r="CM5" s="28">
        <f t="shared" si="3"/>
        <v>28</v>
      </c>
      <c r="CN5" s="28">
        <f t="shared" si="3"/>
        <v>29</v>
      </c>
      <c r="CO5" s="28">
        <f t="shared" si="3"/>
        <v>30</v>
      </c>
      <c r="CP5" s="29">
        <f t="shared" si="3"/>
        <v>31</v>
      </c>
    </row>
    <row r="6" spans="1:94" ht="18.75" x14ac:dyDescent="0.25">
      <c r="A6" s="79" t="s">
        <v>135</v>
      </c>
      <c r="B6" s="80"/>
      <c r="C6" s="41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3"/>
      <c r="AH6" s="44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3"/>
      <c r="BL6" s="44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3"/>
    </row>
    <row r="7" spans="1:94" x14ac:dyDescent="0.25">
      <c r="A7" s="45">
        <v>1</v>
      </c>
      <c r="B7" s="34" t="s">
        <v>133</v>
      </c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8"/>
      <c r="AH7" s="59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8"/>
      <c r="BL7" s="59"/>
      <c r="BM7" s="57"/>
      <c r="BN7" s="57"/>
      <c r="BO7" s="57"/>
      <c r="BP7" s="57"/>
      <c r="BQ7" s="57"/>
      <c r="BR7" s="46"/>
      <c r="BS7" s="46"/>
      <c r="BT7" s="46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8"/>
    </row>
    <row r="8" spans="1:94" ht="30" x14ac:dyDescent="0.25">
      <c r="A8" s="45">
        <v>2</v>
      </c>
      <c r="B8" s="40" t="s">
        <v>136</v>
      </c>
      <c r="C8" s="60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42"/>
      <c r="AB8" s="42"/>
      <c r="AC8" s="42"/>
      <c r="AD8" s="61"/>
      <c r="AE8" s="61"/>
      <c r="AF8" s="61"/>
      <c r="AG8" s="62"/>
      <c r="AH8" s="63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2"/>
      <c r="BL8" s="63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2"/>
    </row>
    <row r="9" spans="1:94" ht="30" x14ac:dyDescent="0.25">
      <c r="A9" s="45">
        <v>3</v>
      </c>
      <c r="B9" s="40" t="s">
        <v>137</v>
      </c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42"/>
      <c r="AD9" s="42"/>
      <c r="AE9" s="42"/>
      <c r="AF9" s="61"/>
      <c r="AG9" s="62"/>
      <c r="AH9" s="63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2"/>
      <c r="BL9" s="63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2"/>
    </row>
    <row r="10" spans="1:94" ht="30" x14ac:dyDescent="0.25">
      <c r="A10" s="45">
        <v>4</v>
      </c>
      <c r="B10" s="40" t="s">
        <v>138</v>
      </c>
      <c r="C10" s="60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42"/>
      <c r="AF10" s="42"/>
      <c r="AG10" s="43"/>
      <c r="AH10" s="63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2"/>
      <c r="BL10" s="63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2"/>
    </row>
    <row r="11" spans="1:94" ht="30" x14ac:dyDescent="0.25">
      <c r="A11" s="45">
        <v>5</v>
      </c>
      <c r="B11" s="40" t="s">
        <v>139</v>
      </c>
      <c r="C11" s="60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43"/>
      <c r="AH11" s="44"/>
      <c r="AI11" s="42"/>
      <c r="AJ11" s="42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2"/>
      <c r="BL11" s="63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2"/>
    </row>
    <row r="12" spans="1:94" ht="60" x14ac:dyDescent="0.25">
      <c r="A12" s="45">
        <v>6</v>
      </c>
      <c r="B12" s="40" t="s">
        <v>140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2"/>
      <c r="AH12" s="63"/>
      <c r="AI12" s="61"/>
      <c r="AJ12" s="42"/>
      <c r="AK12" s="42"/>
      <c r="AL12" s="42"/>
      <c r="AM12" s="42"/>
      <c r="AN12" s="42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2"/>
      <c r="BL12" s="63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2"/>
    </row>
    <row r="13" spans="1:94" ht="30" x14ac:dyDescent="0.25">
      <c r="A13" s="45">
        <v>7</v>
      </c>
      <c r="B13" s="40" t="s">
        <v>141</v>
      </c>
      <c r="C13" s="56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8"/>
      <c r="AH13" s="59"/>
      <c r="AI13" s="57"/>
      <c r="AJ13" s="57"/>
      <c r="AK13" s="57"/>
      <c r="AL13" s="57"/>
      <c r="AM13" s="57"/>
      <c r="AN13" s="46"/>
      <c r="AO13" s="46"/>
      <c r="AP13" s="46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8"/>
      <c r="BL13" s="59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8"/>
    </row>
    <row r="14" spans="1:94" ht="45" x14ac:dyDescent="0.25">
      <c r="A14" s="45">
        <v>8</v>
      </c>
      <c r="B14" s="40" t="s">
        <v>142</v>
      </c>
      <c r="C14" s="60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2"/>
      <c r="AH14" s="63"/>
      <c r="AI14" s="61"/>
      <c r="AJ14" s="61"/>
      <c r="AK14" s="61"/>
      <c r="AL14" s="61"/>
      <c r="AM14" s="61"/>
      <c r="AN14" s="61"/>
      <c r="AO14" s="61"/>
      <c r="AP14" s="61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3"/>
      <c r="BL14" s="63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2"/>
    </row>
    <row r="15" spans="1:94" x14ac:dyDescent="0.25">
      <c r="A15" s="45">
        <v>9</v>
      </c>
      <c r="B15" s="40" t="s">
        <v>143</v>
      </c>
      <c r="C15" s="6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2"/>
      <c r="AH15" s="63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2"/>
      <c r="BL15" s="44"/>
      <c r="BM15" s="42"/>
      <c r="BN15" s="42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2"/>
    </row>
    <row r="16" spans="1:94" x14ac:dyDescent="0.25">
      <c r="A16" s="45">
        <v>10</v>
      </c>
      <c r="B16" s="40" t="s">
        <v>144</v>
      </c>
      <c r="C16" s="6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2"/>
      <c r="AH16" s="63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2"/>
      <c r="BL16" s="63"/>
      <c r="BM16" s="61"/>
      <c r="BN16" s="61"/>
      <c r="BO16" s="42"/>
      <c r="BP16" s="42"/>
      <c r="BQ16" s="42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2"/>
    </row>
    <row r="17" spans="1:94" x14ac:dyDescent="0.25">
      <c r="A17" s="45">
        <v>11</v>
      </c>
      <c r="B17" s="40" t="s">
        <v>145</v>
      </c>
      <c r="C17" s="6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2"/>
      <c r="AH17" s="63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2"/>
      <c r="BL17" s="63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42"/>
      <c r="BX17" s="42"/>
      <c r="BY17" s="42"/>
      <c r="BZ17" s="42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2"/>
    </row>
    <row r="18" spans="1:94" ht="30" x14ac:dyDescent="0.25">
      <c r="A18" s="45">
        <v>12</v>
      </c>
      <c r="B18" s="40" t="s">
        <v>146</v>
      </c>
      <c r="C18" s="6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2"/>
      <c r="AH18" s="63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2"/>
      <c r="BL18" s="63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42"/>
      <c r="CB18" s="42"/>
      <c r="CC18" s="42"/>
      <c r="CD18" s="42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2"/>
    </row>
    <row r="19" spans="1:94" ht="30" x14ac:dyDescent="0.25">
      <c r="A19" s="45">
        <v>13</v>
      </c>
      <c r="B19" s="40" t="s">
        <v>148</v>
      </c>
      <c r="C19" s="6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2"/>
      <c r="AH19" s="63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2"/>
      <c r="BL19" s="63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42"/>
      <c r="CF19" s="42"/>
      <c r="CG19" s="42"/>
      <c r="CH19" s="42"/>
      <c r="CI19" s="42"/>
      <c r="CJ19" s="61"/>
      <c r="CK19" s="61"/>
      <c r="CL19" s="61"/>
      <c r="CM19" s="61"/>
      <c r="CN19" s="61"/>
      <c r="CO19" s="61"/>
      <c r="CP19" s="62"/>
    </row>
    <row r="20" spans="1:94" ht="30" x14ac:dyDescent="0.25">
      <c r="A20" s="45">
        <v>14</v>
      </c>
      <c r="B20" s="40" t="s">
        <v>149</v>
      </c>
      <c r="C20" s="60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2"/>
      <c r="AH20" s="63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2"/>
      <c r="BL20" s="63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42"/>
      <c r="CJ20" s="42"/>
      <c r="CK20" s="42"/>
      <c r="CL20" s="61"/>
      <c r="CM20" s="61"/>
      <c r="CN20" s="61"/>
      <c r="CO20" s="61"/>
      <c r="CP20" s="62"/>
    </row>
    <row r="21" spans="1:94" x14ac:dyDescent="0.25">
      <c r="A21" s="45">
        <v>15</v>
      </c>
      <c r="B21" s="40" t="s">
        <v>147</v>
      </c>
      <c r="C21" s="6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2"/>
      <c r="AH21" s="63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2"/>
      <c r="BL21" s="63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42"/>
      <c r="CM21" s="61"/>
      <c r="CN21" s="61"/>
      <c r="CO21" s="61"/>
      <c r="CP21" s="62"/>
    </row>
    <row r="22" spans="1:94" ht="16.5" thickBot="1" x14ac:dyDescent="0.3">
      <c r="A22" s="45">
        <v>16</v>
      </c>
      <c r="B22" s="40" t="s">
        <v>134</v>
      </c>
      <c r="C22" s="64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6"/>
      <c r="AH22" s="67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6"/>
      <c r="BL22" s="67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47"/>
      <c r="CN22" s="47"/>
      <c r="CO22" s="65"/>
      <c r="CP22" s="66"/>
    </row>
    <row r="23" spans="1:94" ht="16.5" thickBot="1" x14ac:dyDescent="0.3">
      <c r="A23" s="53">
        <v>17</v>
      </c>
      <c r="B23" s="54" t="s">
        <v>151</v>
      </c>
      <c r="C23" s="68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70"/>
      <c r="AH23" s="71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70"/>
      <c r="BL23" s="71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55"/>
      <c r="CP23" s="72"/>
    </row>
    <row r="24" spans="1:94" ht="18.75" x14ac:dyDescent="0.25">
      <c r="A24" s="88" t="s">
        <v>150</v>
      </c>
      <c r="B24" s="89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50"/>
      <c r="AH24" s="51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50"/>
      <c r="BL24" s="51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50"/>
    </row>
    <row r="25" spans="1:94" x14ac:dyDescent="0.25">
      <c r="A25" s="33">
        <v>18</v>
      </c>
      <c r="B25" s="34" t="s">
        <v>133</v>
      </c>
      <c r="C25" s="56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8"/>
      <c r="AH25" s="59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8"/>
      <c r="BL25" s="59"/>
      <c r="BM25" s="57"/>
      <c r="BN25" s="57"/>
      <c r="BO25" s="57"/>
      <c r="BP25" s="57"/>
      <c r="BQ25" s="57"/>
      <c r="BR25" s="35"/>
      <c r="BS25" s="35"/>
      <c r="BT25" s="35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8"/>
    </row>
    <row r="26" spans="1:94" s="36" customFormat="1" x14ac:dyDescent="0.25">
      <c r="A26" s="33">
        <v>19</v>
      </c>
      <c r="B26" s="34" t="s">
        <v>152</v>
      </c>
      <c r="C26" s="6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2"/>
      <c r="AH26" s="63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30"/>
      <c r="BC26" s="30"/>
      <c r="BD26" s="30"/>
      <c r="BE26" s="30"/>
      <c r="BF26" s="30"/>
      <c r="BG26" s="30"/>
      <c r="BH26" s="30"/>
      <c r="BI26" s="30"/>
      <c r="BJ26" s="30"/>
      <c r="BK26" s="31"/>
      <c r="BL26" s="32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2"/>
    </row>
    <row r="27" spans="1:94" s="36" customFormat="1" x14ac:dyDescent="0.25">
      <c r="A27" s="33">
        <v>20</v>
      </c>
      <c r="B27" s="34" t="s">
        <v>153</v>
      </c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8"/>
      <c r="AH27" s="59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8"/>
      <c r="BL27" s="59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35"/>
      <c r="CN27" s="35"/>
      <c r="CO27" s="35"/>
      <c r="CP27" s="37"/>
    </row>
    <row r="28" spans="1:94" s="36" customFormat="1" x14ac:dyDescent="0.25">
      <c r="A28" s="33">
        <v>21</v>
      </c>
      <c r="B28" s="34" t="s">
        <v>154</v>
      </c>
      <c r="C28" s="6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2"/>
      <c r="AH28" s="63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2"/>
      <c r="BL28" s="63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30"/>
      <c r="CF28" s="30"/>
      <c r="CG28" s="30"/>
      <c r="CH28" s="30"/>
      <c r="CI28" s="30"/>
      <c r="CJ28" s="61"/>
      <c r="CK28" s="61"/>
      <c r="CL28" s="61"/>
      <c r="CM28" s="61"/>
      <c r="CN28" s="61"/>
      <c r="CO28" s="61"/>
      <c r="CP28" s="62"/>
    </row>
    <row r="29" spans="1:94" s="36" customFormat="1" ht="16.5" thickBot="1" x14ac:dyDescent="0.3">
      <c r="A29" s="38">
        <v>22</v>
      </c>
      <c r="B29" s="39" t="s">
        <v>155</v>
      </c>
      <c r="C29" s="64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6"/>
      <c r="AH29" s="67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6"/>
      <c r="BL29" s="67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52"/>
      <c r="CB29" s="52"/>
      <c r="CC29" s="52"/>
      <c r="CD29" s="52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6"/>
    </row>
  </sheetData>
  <mergeCells count="5">
    <mergeCell ref="A6:B6"/>
    <mergeCell ref="A1:B1"/>
    <mergeCell ref="A3:A5"/>
    <mergeCell ref="B3:B5"/>
    <mergeCell ref="A24:B24"/>
  </mergeCells>
  <printOptions horizontalCentered="1"/>
  <pageMargins left="0.25" right="0.25" top="0.75" bottom="0.75" header="0.3" footer="0.3"/>
  <pageSetup paperSize="9" scale="70" fitToWidth="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I16" sqref="I16"/>
    </sheetView>
  </sheetViews>
  <sheetFormatPr baseColWidth="10" defaultRowHeight="15" x14ac:dyDescent="0.25"/>
  <sheetData>
    <row r="1" spans="1:4" ht="19.5" thickBot="1" x14ac:dyDescent="0.35">
      <c r="A1" s="73" t="s">
        <v>157</v>
      </c>
      <c r="B1" s="74"/>
      <c r="C1" s="75"/>
      <c r="D1" s="75"/>
    </row>
    <row r="2" spans="1:4" ht="19.5" thickBot="1" x14ac:dyDescent="0.35">
      <c r="A2" s="74"/>
      <c r="B2" s="74"/>
      <c r="C2" s="75"/>
      <c r="D2" s="75"/>
    </row>
    <row r="3" spans="1:4" ht="19.5" thickBot="1" x14ac:dyDescent="0.35">
      <c r="A3" s="74"/>
      <c r="B3" s="76" t="s">
        <v>158</v>
      </c>
      <c r="C3" s="75"/>
      <c r="D3" s="75"/>
    </row>
    <row r="4" spans="1:4" ht="19.5" thickBot="1" x14ac:dyDescent="0.35">
      <c r="A4" s="74"/>
      <c r="B4" s="76" t="s">
        <v>159</v>
      </c>
      <c r="C4" s="75"/>
      <c r="D4" s="75"/>
    </row>
    <row r="5" spans="1:4" ht="19.5" thickBot="1" x14ac:dyDescent="0.35">
      <c r="A5" s="74"/>
      <c r="B5" s="76" t="s">
        <v>160</v>
      </c>
      <c r="C5" s="75"/>
      <c r="D5" s="75"/>
    </row>
    <row r="6" spans="1:4" ht="19.5" thickBot="1" x14ac:dyDescent="0.35">
      <c r="A6" s="74"/>
      <c r="B6" s="76" t="s">
        <v>161</v>
      </c>
      <c r="C6" s="75"/>
      <c r="D6" s="75"/>
    </row>
    <row r="7" spans="1:4" ht="19.5" thickBot="1" x14ac:dyDescent="0.3">
      <c r="A7" s="75"/>
      <c r="B7" s="76" t="s">
        <v>162</v>
      </c>
      <c r="C7" s="75"/>
      <c r="D7" s="75"/>
    </row>
    <row r="8" spans="1:4" ht="19.5" thickBot="1" x14ac:dyDescent="0.3">
      <c r="A8" s="75"/>
      <c r="B8" s="76" t="s">
        <v>163</v>
      </c>
      <c r="C8" s="75"/>
      <c r="D8" s="75"/>
    </row>
    <row r="9" spans="1:4" ht="75.75" thickBot="1" x14ac:dyDescent="0.35">
      <c r="A9" s="75"/>
      <c r="B9" s="77" t="s">
        <v>164</v>
      </c>
      <c r="C9" s="75"/>
      <c r="D9" s="75"/>
    </row>
    <row r="10" spans="1:4" ht="19.5" thickBot="1" x14ac:dyDescent="0.3">
      <c r="A10" s="75"/>
      <c r="B10" s="76" t="s">
        <v>165</v>
      </c>
      <c r="C10" s="75"/>
      <c r="D10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Analyse BDD</vt:lpstr>
      <vt:lpstr>RETROPLANNING</vt:lpstr>
      <vt:lpstr>Feuil1</vt:lpstr>
      <vt:lpstr>RETROPLANNING!Impression_des_titres</vt:lpstr>
      <vt:lpstr>RETROPLANNING!Zone_d_impression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Empower</cp:lastModifiedBy>
  <dcterms:created xsi:type="dcterms:W3CDTF">2019-12-14T18:43:16Z</dcterms:created>
  <dcterms:modified xsi:type="dcterms:W3CDTF">2020-06-30T11:20:10Z</dcterms:modified>
</cp:coreProperties>
</file>